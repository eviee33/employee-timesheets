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trelleborg-my.sharepoint.com/personal/evie_busby_trelleborg_com/Documents/Projects/Time Sheets/To Upload to Github/Individuals/"/>
    </mc:Choice>
  </mc:AlternateContent>
  <xr:revisionPtr revIDLastSave="268" documentId="13_ncr:1_{4EC0DA3A-4916-4A33-B2F0-7E73A3BF6F6F}" xr6:coauthVersionLast="47" xr6:coauthVersionMax="47" xr10:uidLastSave="{23634A28-1389-4A78-A81C-C69F3BBBECC5}"/>
  <bookViews>
    <workbookView xWindow="-110" yWindow="-110" windowWidth="19420" windowHeight="10420" xr2:uid="{00000000-000D-0000-FFFF-FFFF00000000}"/>
  </bookViews>
  <sheets>
    <sheet name="Time Sheet" sheetId="1" r:id="rId1"/>
    <sheet name="Task Codes" sheetId="6" r:id="rId2"/>
    <sheet name="Analysis" sheetId="3" r:id="rId3"/>
    <sheet name="Day-to-Day Tracking" sheetId="4" r:id="rId4"/>
    <sheet name="User Guide" sheetId="5" r:id="rId5"/>
  </sheets>
  <functionGroups builtInGroupCount="19"/>
  <definedNames>
    <definedName name="TaskCodes">'Task Codes'!$A$2:$A$40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7" i="1" l="1"/>
  <c r="E18" i="1"/>
  <c r="F18" i="1"/>
  <c r="G18" i="1"/>
  <c r="H18" i="1"/>
  <c r="I18" i="1"/>
  <c r="J16" i="1"/>
  <c r="J15" i="1"/>
  <c r="G16" i="4"/>
  <c r="B17" i="4"/>
  <c r="C17" i="4"/>
  <c r="D17" i="4"/>
  <c r="E17" i="4"/>
  <c r="F17" i="4"/>
  <c r="G15" i="4"/>
  <c r="G14" i="4"/>
  <c r="G13" i="4"/>
  <c r="G12" i="4"/>
  <c r="G11" i="4"/>
  <c r="G10" i="4"/>
  <c r="G9" i="4"/>
  <c r="G8" i="4"/>
  <c r="G7" i="4"/>
  <c r="G6" i="4"/>
  <c r="G5" i="4"/>
  <c r="G4" i="4"/>
  <c r="G3" i="4"/>
  <c r="G2" i="4"/>
  <c r="G17" i="4" l="1"/>
  <c r="I216" i="1" l="1"/>
  <c r="J203" i="1" l="1"/>
  <c r="J202" i="1"/>
  <c r="J205" i="1"/>
  <c r="J206" i="1"/>
  <c r="J207" i="1"/>
  <c r="J208" i="1"/>
  <c r="J204" i="1"/>
  <c r="J210" i="1"/>
  <c r="J186" i="1"/>
  <c r="J187" i="1"/>
  <c r="J188" i="1"/>
  <c r="J189" i="1"/>
  <c r="J190" i="1"/>
  <c r="J191" i="1"/>
  <c r="J192" i="1"/>
  <c r="J193" i="1"/>
  <c r="J169" i="1"/>
  <c r="J170" i="1"/>
  <c r="J171" i="1"/>
  <c r="J172" i="1"/>
  <c r="J173" i="1"/>
  <c r="J174" i="1"/>
  <c r="J175" i="1"/>
  <c r="J176" i="1"/>
  <c r="J155" i="1"/>
  <c r="J156" i="1"/>
  <c r="J157" i="1"/>
  <c r="J158" i="1"/>
  <c r="J159" i="1"/>
  <c r="J160" i="1"/>
  <c r="J150" i="1"/>
  <c r="J149" i="1"/>
  <c r="J132" i="1"/>
  <c r="J133" i="1"/>
  <c r="J134" i="1"/>
  <c r="J135" i="1"/>
  <c r="J136" i="1"/>
  <c r="J137" i="1"/>
  <c r="J138" i="1"/>
  <c r="J139" i="1"/>
  <c r="J124" i="1"/>
  <c r="J113" i="1"/>
  <c r="J114" i="1"/>
  <c r="J115" i="1"/>
  <c r="J116" i="1"/>
  <c r="J117" i="1"/>
  <c r="J118" i="1"/>
  <c r="J119" i="1"/>
  <c r="J102" i="1"/>
  <c r="J97" i="1"/>
  <c r="J98" i="1"/>
  <c r="J99" i="1"/>
  <c r="J100" i="1"/>
  <c r="J96" i="1"/>
  <c r="J101" i="1"/>
  <c r="J103" i="1"/>
  <c r="J77" i="1"/>
  <c r="J78" i="1"/>
  <c r="J79" i="1"/>
  <c r="J81" i="1"/>
  <c r="J82" i="1"/>
  <c r="J83" i="1"/>
  <c r="J84" i="1"/>
  <c r="J85" i="1"/>
  <c r="J59" i="1"/>
  <c r="J60" i="1"/>
  <c r="J61" i="1"/>
  <c r="J62" i="1"/>
  <c r="J64" i="1"/>
  <c r="J65" i="1"/>
  <c r="J66" i="1"/>
  <c r="J67" i="1"/>
  <c r="J40" i="1"/>
  <c r="J41" i="1"/>
  <c r="J42" i="1"/>
  <c r="J43" i="1"/>
  <c r="J44" i="1"/>
  <c r="J45" i="1"/>
  <c r="J46" i="1"/>
  <c r="J47" i="1"/>
  <c r="J29" i="1"/>
  <c r="J28" i="1"/>
  <c r="J27" i="1"/>
  <c r="J26" i="1"/>
  <c r="J25" i="1"/>
  <c r="J24" i="1"/>
  <c r="J23" i="1"/>
  <c r="J22" i="1"/>
  <c r="J10" i="1"/>
  <c r="J11" i="1"/>
  <c r="J12" i="1"/>
  <c r="J6" i="1"/>
  <c r="J7" i="1"/>
  <c r="J8" i="1"/>
  <c r="J9" i="1"/>
  <c r="J201" i="1" l="1"/>
  <c r="J209" i="1"/>
  <c r="J211" i="1"/>
  <c r="J212" i="1"/>
  <c r="J213" i="1"/>
  <c r="J214" i="1"/>
  <c r="J215" i="1"/>
  <c r="J165" i="1"/>
  <c r="J166" i="1"/>
  <c r="J167" i="1"/>
  <c r="J168" i="1"/>
  <c r="J177" i="1"/>
  <c r="J178" i="1"/>
  <c r="J179" i="1"/>
  <c r="J147" i="1"/>
  <c r="J148" i="1"/>
  <c r="J151" i="1"/>
  <c r="J152" i="1"/>
  <c r="J153" i="1"/>
  <c r="J154" i="1"/>
  <c r="J161" i="1"/>
  <c r="J111" i="1"/>
  <c r="J57" i="1"/>
  <c r="J58" i="1"/>
  <c r="J63" i="1"/>
  <c r="J68" i="1"/>
  <c r="J69" i="1"/>
  <c r="J70" i="1"/>
  <c r="J71" i="1"/>
  <c r="J75" i="1"/>
  <c r="J76" i="1"/>
  <c r="J80" i="1"/>
  <c r="J86" i="1"/>
  <c r="J87" i="1"/>
  <c r="J88" i="1"/>
  <c r="J89" i="1"/>
  <c r="J30" i="1"/>
  <c r="J39" i="1"/>
  <c r="J94" i="1"/>
  <c r="J21" i="1"/>
  <c r="J93" i="1"/>
  <c r="J183" i="1" l="1"/>
  <c r="J184" i="1"/>
  <c r="J185" i="1"/>
  <c r="J194" i="1"/>
  <c r="J195" i="1"/>
  <c r="J196" i="1"/>
  <c r="J197" i="1"/>
  <c r="J129" i="1"/>
  <c r="J130" i="1"/>
  <c r="J131" i="1"/>
  <c r="J140" i="1"/>
  <c r="J141" i="1"/>
  <c r="J142" i="1"/>
  <c r="J143" i="1"/>
  <c r="J112" i="1"/>
  <c r="J120" i="1"/>
  <c r="J121" i="1"/>
  <c r="J122" i="1"/>
  <c r="J123" i="1"/>
  <c r="J125" i="1"/>
  <c r="J95" i="1"/>
  <c r="J104" i="1"/>
  <c r="J105" i="1"/>
  <c r="J106" i="1"/>
  <c r="J107" i="1"/>
  <c r="J48" i="1"/>
  <c r="J49" i="1"/>
  <c r="J50" i="1"/>
  <c r="J51" i="1"/>
  <c r="J52" i="1"/>
  <c r="J53" i="1"/>
  <c r="J31" i="1"/>
  <c r="J32" i="1"/>
  <c r="J33" i="1"/>
  <c r="J34" i="1"/>
  <c r="J35" i="1"/>
  <c r="J126" i="1" l="1"/>
  <c r="J54" i="1"/>
  <c r="J90" i="1"/>
  <c r="J36" i="1"/>
  <c r="J198" i="1"/>
  <c r="J162" i="1"/>
  <c r="J144" i="1"/>
  <c r="J216" i="1"/>
  <c r="J180" i="1"/>
  <c r="J108" i="1"/>
  <c r="J72" i="1"/>
  <c r="H36" i="1"/>
  <c r="G36" i="1"/>
  <c r="F36" i="1"/>
  <c r="E36" i="1"/>
  <c r="J3" i="1"/>
  <c r="J4" i="1"/>
  <c r="J5" i="1"/>
  <c r="J13" i="1"/>
  <c r="J14" i="1"/>
  <c r="J18" i="1" l="1"/>
  <c r="H162" i="1"/>
  <c r="G162" i="1"/>
  <c r="F162" i="1"/>
  <c r="E162" i="1"/>
  <c r="H144" i="1"/>
  <c r="G144" i="1"/>
  <c r="F144" i="1"/>
  <c r="E144" i="1"/>
  <c r="H216" i="1"/>
  <c r="G216" i="1"/>
  <c r="F216" i="1"/>
  <c r="E216" i="1"/>
  <c r="H198" i="1"/>
  <c r="G198" i="1"/>
  <c r="F198" i="1"/>
  <c r="E198" i="1"/>
  <c r="H180" i="1"/>
  <c r="G180" i="1"/>
  <c r="F180" i="1"/>
  <c r="E180" i="1"/>
  <c r="I126" i="1" l="1"/>
  <c r="H126" i="1"/>
  <c r="G126" i="1"/>
  <c r="F126" i="1"/>
  <c r="E126" i="1"/>
  <c r="H108" i="1"/>
  <c r="G108" i="1"/>
  <c r="F108" i="1"/>
  <c r="E108" i="1"/>
  <c r="H90" i="1"/>
  <c r="G90" i="1"/>
  <c r="F90" i="1"/>
  <c r="E90" i="1"/>
  <c r="H72" i="1"/>
  <c r="G72" i="1"/>
  <c r="F72" i="1"/>
  <c r="E72" i="1"/>
  <c r="H54" i="1"/>
  <c r="G54" i="1"/>
  <c r="F54" i="1"/>
  <c r="E54" i="1"/>
</calcChain>
</file>

<file path=xl/sharedStrings.xml><?xml version="1.0" encoding="utf-8"?>
<sst xmlns="http://schemas.openxmlformats.org/spreadsheetml/2006/main" count="199" uniqueCount="128">
  <si>
    <t>EMPLOYEE 
TIMESHEET</t>
  </si>
  <si>
    <t>Employee Name:</t>
  </si>
  <si>
    <t>Manager:</t>
  </si>
  <si>
    <t>Email Address:</t>
  </si>
  <si>
    <t>Phone Number:</t>
  </si>
  <si>
    <t>Total</t>
  </si>
  <si>
    <t>February</t>
  </si>
  <si>
    <t>March</t>
  </si>
  <si>
    <t>April</t>
  </si>
  <si>
    <t>May</t>
  </si>
  <si>
    <t>June</t>
  </si>
  <si>
    <t>July</t>
  </si>
  <si>
    <t>August</t>
  </si>
  <si>
    <t>September</t>
  </si>
  <si>
    <t>October</t>
  </si>
  <si>
    <t>November</t>
  </si>
  <si>
    <t>December</t>
  </si>
  <si>
    <t>January</t>
  </si>
  <si>
    <t>Mon</t>
  </si>
  <si>
    <t>Tues</t>
  </si>
  <si>
    <t>Wed</t>
  </si>
  <si>
    <t>Thurs</t>
  </si>
  <si>
    <t>Fri</t>
  </si>
  <si>
    <t>Task Code</t>
  </si>
  <si>
    <t>Full Year</t>
  </si>
  <si>
    <t>Q1</t>
  </si>
  <si>
    <t>Q2</t>
  </si>
  <si>
    <t>Q3</t>
  </si>
  <si>
    <t>Q4</t>
  </si>
  <si>
    <t>Total Hours</t>
  </si>
  <si>
    <t>Task</t>
  </si>
  <si>
    <t>Code</t>
  </si>
  <si>
    <t>FRW</t>
  </si>
  <si>
    <t>FST</t>
  </si>
  <si>
    <t>ERC</t>
  </si>
  <si>
    <t>MQP</t>
  </si>
  <si>
    <t>RPS</t>
  </si>
  <si>
    <t>FRL</t>
  </si>
  <si>
    <t>FRC</t>
  </si>
  <si>
    <t>ATN</t>
  </si>
  <si>
    <t>TSB</t>
  </si>
  <si>
    <t>FAB</t>
  </si>
  <si>
    <t>BRP</t>
  </si>
  <si>
    <t>LEP</t>
  </si>
  <si>
    <t>FSS</t>
  </si>
  <si>
    <t>CAS</t>
  </si>
  <si>
    <t>NTG</t>
  </si>
  <si>
    <t>LCC</t>
  </si>
  <si>
    <t>VPB</t>
  </si>
  <si>
    <t>RUP</t>
  </si>
  <si>
    <t>AND</t>
  </si>
  <si>
    <t>NBT</t>
  </si>
  <si>
    <t>SPF</t>
  </si>
  <si>
    <t>LVW</t>
  </si>
  <si>
    <t>OPS</t>
  </si>
  <si>
    <t>QAS</t>
  </si>
  <si>
    <t>CSQ</t>
  </si>
  <si>
    <t>TRA</t>
  </si>
  <si>
    <t>AMN</t>
  </si>
  <si>
    <t>IDA</t>
  </si>
  <si>
    <t>HRS</t>
  </si>
  <si>
    <t>OUT</t>
  </si>
  <si>
    <t>LMM</t>
  </si>
  <si>
    <t>SMS</t>
  </si>
  <si>
    <t>HOL</t>
  </si>
  <si>
    <t>ILL</t>
  </si>
  <si>
    <t>ABS</t>
  </si>
  <si>
    <t>BHL</t>
  </si>
  <si>
    <t>The Analysis tab will be updated on saving the spreadsheet.</t>
  </si>
  <si>
    <t>Hours 01/01</t>
  </si>
  <si>
    <t>Hours 08/01</t>
  </si>
  <si>
    <t>Hours 15/01</t>
  </si>
  <si>
    <t>Hours 22/01</t>
  </si>
  <si>
    <t>Hours 29/01</t>
  </si>
  <si>
    <t>Hours 05/02</t>
  </si>
  <si>
    <t>Hours 12/02</t>
  </si>
  <si>
    <t>Hours 19/02</t>
  </si>
  <si>
    <t>Hours 26/02</t>
  </si>
  <si>
    <t>Hours 04/03</t>
  </si>
  <si>
    <t>Hours 11/03</t>
  </si>
  <si>
    <t>Hours 18/03</t>
  </si>
  <si>
    <t>Hours 25/03</t>
  </si>
  <si>
    <t>Hours 01/04</t>
  </si>
  <si>
    <t>Hours 08/04</t>
  </si>
  <si>
    <t>Hours 15/04</t>
  </si>
  <si>
    <t>Hours 22/04</t>
  </si>
  <si>
    <t>Hours 29/04</t>
  </si>
  <si>
    <t>Hours 06/05</t>
  </si>
  <si>
    <t>Hours 13/05</t>
  </si>
  <si>
    <t>Hours 20/05</t>
  </si>
  <si>
    <t>Hours 27/05</t>
  </si>
  <si>
    <t>Hours 03/06</t>
  </si>
  <si>
    <t>Hours 10/06</t>
  </si>
  <si>
    <t>Hours 17/06</t>
  </si>
  <si>
    <t>Hours 24/06</t>
  </si>
  <si>
    <t>Hours 01/07</t>
  </si>
  <si>
    <t>Hours 08/07</t>
  </si>
  <si>
    <t>Hours 15/07</t>
  </si>
  <si>
    <t>Hours 22/07</t>
  </si>
  <si>
    <t>Hours 29/07</t>
  </si>
  <si>
    <t>Hours 05/08</t>
  </si>
  <si>
    <t>Hours 12/08</t>
  </si>
  <si>
    <t>Hours 19/08</t>
  </si>
  <si>
    <t>Hours 26/08</t>
  </si>
  <si>
    <t>Hours 02/09</t>
  </si>
  <si>
    <t>Hours 09/09</t>
  </si>
  <si>
    <t>Hours 16/09</t>
  </si>
  <si>
    <t>Hours 23/09</t>
  </si>
  <si>
    <t>Hours 30/09</t>
  </si>
  <si>
    <t>Hours 07/10</t>
  </si>
  <si>
    <t>Hours 14/10</t>
  </si>
  <si>
    <t>Hours 21/10</t>
  </si>
  <si>
    <t>Hours 28/10</t>
  </si>
  <si>
    <t>Hours 04/11</t>
  </si>
  <si>
    <t>Hours 11/11</t>
  </si>
  <si>
    <t>Hours 18/11</t>
  </si>
  <si>
    <t>Hours 02/12</t>
  </si>
  <si>
    <t>Hours 09/12</t>
  </si>
  <si>
    <t>Hours 16/12</t>
  </si>
  <si>
    <t>Hours 23/12</t>
  </si>
  <si>
    <t>Hours 30/12</t>
  </si>
  <si>
    <t>Hours 25/11</t>
  </si>
  <si>
    <t>Use this sheet if you find it easier to track hours by the day rather than for the week. You can input your hours to the main Time Sheet by clicking the Submit button, and entering the week commencing date for the week you wish to submit hours for.</t>
  </si>
  <si>
    <t>MAC</t>
  </si>
  <si>
    <t>SEC</t>
  </si>
  <si>
    <t>Ignore</t>
  </si>
  <si>
    <t>Please update your tasks and hours on the worksheet titled Time Sheet, or alternatively directly via the Day-to-Day Tracking sheet.</t>
  </si>
  <si>
    <t>The hours logged on this time sheet are pooled together with other members of the team, and can be viewed on the Team Projects Time Split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</si>
</sst>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2" formatCode="_-&quot;£&quot;* #,##0_-;\-&quot;£&quot;* #,##0_-;_-&quot;£&quot;* &quot;-&quot;_-;_-@_-"/>
    <numFmt numFmtId="44" formatCode="_-&quot;£&quot;* #,##0.00_-;\-&quot;£&quot;* #,##0.00_-;_-&quot;£&quot;* &quot;-&quot;??_-;_-@_-"/>
    <numFmt numFmtId="164" formatCode="_(* #,##0_);_(* \(#,##0\);_(* &quot;-&quot;_);_(@_)"/>
    <numFmt numFmtId="165" formatCode="#,##0.0"/>
    <numFmt numFmtId="166" formatCode="#,##0.0_);\(#,##0.0\)"/>
  </numFmts>
  <fonts count="41" x14ac:knownFonts="1">
    <font>
      <sz val="10"/>
      <color theme="1" tint="0.14996795556505021"/>
      <name val="Calibri"/>
      <family val="2"/>
      <scheme val="minor"/>
    </font>
    <font>
      <sz val="11"/>
      <color theme="1"/>
      <name val="Calibri"/>
      <family val="2"/>
      <scheme val="minor"/>
    </font>
    <font>
      <sz val="10"/>
      <color theme="3"/>
      <name val="Calibri Light"/>
      <family val="2"/>
      <scheme val="major"/>
    </font>
    <font>
      <b/>
      <sz val="12"/>
      <color theme="0"/>
      <name val="Calibri Light"/>
      <family val="2"/>
      <scheme val="major"/>
    </font>
    <font>
      <b/>
      <sz val="30"/>
      <color theme="5"/>
      <name val="Calibri Light"/>
      <family val="2"/>
      <scheme val="major"/>
    </font>
    <font>
      <sz val="9"/>
      <color theme="5"/>
      <name val="Calibri Light"/>
      <family val="2"/>
      <scheme val="major"/>
    </font>
    <font>
      <b/>
      <sz val="9"/>
      <color theme="5"/>
      <name val="Calibri"/>
      <family val="2"/>
      <scheme val="minor"/>
    </font>
    <font>
      <sz val="10"/>
      <color theme="1" tint="0.14996795556505021"/>
      <name val="Calibri"/>
      <family val="2"/>
      <scheme val="minor"/>
    </font>
    <font>
      <sz val="11"/>
      <color theme="0"/>
      <name val="Calibri"/>
      <family val="2"/>
      <scheme val="minor"/>
    </font>
    <font>
      <sz val="9"/>
      <color theme="3" tint="-0.24994659260841701"/>
      <name val="Calibri Light"/>
      <family val="2"/>
      <scheme val="major"/>
    </font>
    <font>
      <sz val="18"/>
      <color theme="3"/>
      <name val="Calibri Light"/>
      <family val="2"/>
      <scheme val="maj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u/>
      <sz val="10"/>
      <color theme="10"/>
      <name val="Calibri"/>
      <family val="2"/>
      <scheme val="minor"/>
    </font>
    <font>
      <sz val="8"/>
      <name val="Calibri"/>
      <family val="2"/>
      <scheme val="minor"/>
    </font>
    <font>
      <sz val="10"/>
      <color theme="1"/>
      <name val="Arial"/>
      <family val="2"/>
    </font>
    <font>
      <sz val="9"/>
      <color rgb="FFF2B92C"/>
      <name val="Arial"/>
      <family val="2"/>
    </font>
    <font>
      <b/>
      <sz val="9"/>
      <color rgb="FFF2B92C"/>
      <name val="Arial"/>
      <family val="2"/>
    </font>
    <font>
      <u/>
      <sz val="9"/>
      <color theme="8"/>
      <name val="Arial"/>
      <family val="2"/>
    </font>
    <font>
      <b/>
      <sz val="28"/>
      <color rgb="FFF2B92C"/>
      <name val="Arial"/>
      <family val="2"/>
    </font>
    <font>
      <b/>
      <sz val="12"/>
      <color theme="0"/>
      <name val="Arial"/>
      <family val="2"/>
    </font>
    <font>
      <sz val="9"/>
      <color theme="3" tint="-0.24994659260841701"/>
      <name val="Arial"/>
      <family val="2"/>
    </font>
    <font>
      <sz val="10"/>
      <color theme="1" tint="0.14996795556505021"/>
      <name val="Arial"/>
      <family val="2"/>
    </font>
    <font>
      <sz val="10"/>
      <color theme="1" tint="0.14999847407452621"/>
      <name val="Arial"/>
      <family val="2"/>
    </font>
    <font>
      <sz val="9"/>
      <color theme="1" tint="0.14999847407452621"/>
      <name val="Arial"/>
      <family val="2"/>
    </font>
    <font>
      <b/>
      <sz val="9"/>
      <color theme="1" tint="0.14999847407452621"/>
      <name val="Arial"/>
      <family val="2"/>
    </font>
    <font>
      <b/>
      <sz val="12"/>
      <color rgb="FFBC7000"/>
      <name val="Arial"/>
      <family val="2"/>
    </font>
    <font>
      <sz val="9"/>
      <color rgb="FFBC7000"/>
      <name val="Arial"/>
      <family val="2"/>
    </font>
    <font>
      <sz val="10"/>
      <color rgb="FFBC7000"/>
      <name val="Arial"/>
      <family val="2"/>
    </font>
    <font>
      <sz val="9"/>
      <color theme="5"/>
      <name val="Arial"/>
      <family val="2"/>
    </font>
    <font>
      <b/>
      <sz val="9"/>
      <color theme="5"/>
      <name val="Arial"/>
      <family val="2"/>
    </font>
    <font>
      <b/>
      <sz val="10"/>
      <color theme="1" tint="0.14996795556505021"/>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5"/>
        <bgColor indexed="64"/>
      </patternFill>
    </fill>
    <fill>
      <patternFill patternType="solid">
        <fgColor theme="9"/>
      </patternFill>
    </fill>
    <fill>
      <patternFill patternType="solid">
        <fgColor theme="9" tint="0.79998168889431442"/>
        <bgColor indexed="65"/>
      </patternFill>
    </fill>
    <fill>
      <patternFill patternType="solid">
        <fgColor theme="9" tint="0.39997558519241921"/>
        <bgColor indexed="65"/>
      </patternFill>
    </fill>
    <fill>
      <patternFill patternType="solid">
        <fgColor theme="3" tint="-0.2499465926084170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59999389629810485"/>
        <bgColor indexed="65"/>
      </patternFill>
    </fill>
    <fill>
      <patternFill patternType="solid">
        <fgColor theme="0"/>
        <bgColor indexed="64"/>
      </patternFill>
    </fill>
    <fill>
      <patternFill patternType="solid">
        <fgColor theme="1" tint="0.14999847407452621"/>
        <bgColor indexed="64"/>
      </patternFill>
    </fill>
  </fills>
  <borders count="15">
    <border>
      <left/>
      <right/>
      <top/>
      <bottom/>
      <diagonal/>
    </border>
    <border>
      <left/>
      <right/>
      <top/>
      <bottom style="medium">
        <color theme="5"/>
      </bottom>
      <diagonal/>
    </border>
    <border>
      <left/>
      <right/>
      <top/>
      <bottom style="thick">
        <color theme="3" tint="0.39994506668294322"/>
      </bottom>
      <diagonal/>
    </border>
    <border>
      <left style="medium">
        <color theme="3" tint="-0.24994659260841701"/>
      </left>
      <right/>
      <top/>
      <bottom style="thick">
        <color theme="3"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op>
      <bottom/>
      <diagonal/>
    </border>
    <border>
      <left/>
      <right/>
      <top style="thin">
        <color theme="0"/>
      </top>
      <bottom style="thin">
        <color theme="0"/>
      </bottom>
      <diagonal/>
    </border>
    <border>
      <left style="thin">
        <color theme="0"/>
      </left>
      <right/>
      <top/>
      <bottom style="medium">
        <color theme="0"/>
      </bottom>
      <diagonal/>
    </border>
    <border>
      <left/>
      <right/>
      <top/>
      <bottom style="thin">
        <color theme="0"/>
      </bottom>
      <diagonal/>
    </border>
    <border>
      <left/>
      <right/>
      <top/>
      <bottom style="medium">
        <color theme="0"/>
      </bottom>
      <diagonal/>
    </border>
  </borders>
  <cellStyleXfs count="52">
    <xf numFmtId="0" fontId="0" fillId="0" borderId="0">
      <alignment wrapText="1"/>
    </xf>
    <xf numFmtId="0" fontId="4" fillId="7" borderId="2" applyNumberFormat="0" applyAlignment="0" applyProtection="0"/>
    <xf numFmtId="0" fontId="3" fillId="7" borderId="3" applyNumberFormat="0" applyProtection="0">
      <alignment horizontal="center"/>
    </xf>
    <xf numFmtId="0" fontId="2" fillId="0" borderId="1" applyNumberFormat="0" applyProtection="0">
      <alignment horizontal="right" vertical="center"/>
    </xf>
    <xf numFmtId="0" fontId="9" fillId="3" borderId="0" applyNumberFormat="0" applyBorder="0" applyAlignment="0" applyProtection="0"/>
    <xf numFmtId="0" fontId="9" fillId="3" borderId="0" applyNumberFormat="0" applyBorder="0" applyAlignment="0" applyProtection="0"/>
    <xf numFmtId="0" fontId="6" fillId="7" borderId="1"/>
    <xf numFmtId="0" fontId="5" fillId="7" borderId="0" applyBorder="0" applyProtection="0"/>
    <xf numFmtId="166" fontId="7" fillId="0" borderId="0" applyFont="0" applyFill="0" applyBorder="0" applyAlignment="0" applyProtection="0"/>
    <xf numFmtId="0" fontId="8" fillId="4" borderId="0" applyNumberFormat="0" applyFont="0" applyBorder="0" applyAlignment="0" applyProtection="0"/>
    <xf numFmtId="0" fontId="1" fillId="5" borderId="0" applyNumberFormat="0" applyFont="0" applyBorder="0" applyAlignment="0" applyProtection="0"/>
    <xf numFmtId="0" fontId="8" fillId="6" borderId="0" applyNumberFormat="0" applyFont="0" applyBorder="0" applyAlignment="0" applyProtection="0"/>
    <xf numFmtId="0" fontId="9" fillId="0" borderId="0" applyFill="0" applyBorder="0"/>
    <xf numFmtId="164" fontId="7" fillId="0" borderId="0" applyFont="0" applyFill="0" applyBorder="0" applyAlignment="0" applyProtection="0"/>
    <xf numFmtId="44" fontId="7" fillId="0" borderId="0" applyFont="0" applyFill="0" applyBorder="0" applyAlignment="0" applyProtection="0"/>
    <xf numFmtId="42" fontId="7" fillId="0" borderId="0" applyFont="0" applyFill="0" applyBorder="0" applyAlignment="0" applyProtection="0"/>
    <xf numFmtId="9" fontId="7" fillId="0" borderId="0" applyFont="0" applyFill="0" applyBorder="0" applyAlignment="0" applyProtection="0"/>
    <xf numFmtId="0" fontId="10" fillId="0" borderId="0" applyNumberFormat="0" applyFill="0" applyBorder="0" applyAlignment="0" applyProtection="0"/>
    <xf numFmtId="0" fontId="11" fillId="8" borderId="0" applyNumberFormat="0" applyBorder="0" applyAlignment="0" applyProtection="0"/>
    <xf numFmtId="0" fontId="12" fillId="9" borderId="0" applyNumberFormat="0" applyBorder="0" applyAlignment="0" applyProtection="0"/>
    <xf numFmtId="0" fontId="13" fillId="10" borderId="0" applyNumberFormat="0" applyBorder="0" applyAlignment="0" applyProtection="0"/>
    <xf numFmtId="0" fontId="14" fillId="11" borderId="4" applyNumberFormat="0" applyAlignment="0" applyProtection="0"/>
    <xf numFmtId="0" fontId="15" fillId="12" borderId="5" applyNumberFormat="0" applyAlignment="0" applyProtection="0"/>
    <xf numFmtId="0" fontId="16" fillId="12" borderId="4" applyNumberFormat="0" applyAlignment="0" applyProtection="0"/>
    <xf numFmtId="0" fontId="17" fillId="0" borderId="6" applyNumberFormat="0" applyFill="0" applyAlignment="0" applyProtection="0"/>
    <xf numFmtId="0" fontId="18" fillId="13" borderId="7" applyNumberFormat="0" applyAlignment="0" applyProtection="0"/>
    <xf numFmtId="0" fontId="19" fillId="0" borderId="0" applyNumberFormat="0" applyFill="0" applyBorder="0" applyAlignment="0" applyProtection="0"/>
    <xf numFmtId="0" fontId="7" fillId="14" borderId="8" applyNumberFormat="0" applyFont="0" applyAlignment="0" applyProtection="0"/>
    <xf numFmtId="0" fontId="20" fillId="0" borderId="0" applyNumberFormat="0" applyFill="0" applyBorder="0" applyAlignment="0" applyProtection="0"/>
    <xf numFmtId="0" fontId="21" fillId="0" borderId="9" applyNumberFormat="0" applyFill="0" applyAlignment="0" applyProtection="0"/>
    <xf numFmtId="0" fontId="8"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8"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8"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8"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8"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2" fillId="0" borderId="0" applyNumberFormat="0" applyFill="0" applyBorder="0" applyAlignment="0" applyProtection="0">
      <alignment wrapText="1"/>
    </xf>
  </cellStyleXfs>
  <cellXfs count="60">
    <xf numFmtId="0" fontId="0" fillId="0" borderId="0" xfId="0">
      <alignment wrapText="1"/>
    </xf>
    <xf numFmtId="0" fontId="25" fillId="37" borderId="0" xfId="7" applyFont="1" applyFill="1" applyBorder="1"/>
    <xf numFmtId="0" fontId="25" fillId="37" borderId="0" xfId="7" applyFont="1" applyFill="1"/>
    <xf numFmtId="0" fontId="33" fillId="0" borderId="0" xfId="12" applyFont="1" applyFill="1" applyBorder="1"/>
    <xf numFmtId="165" fontId="32" fillId="0" borderId="0" xfId="8" applyNumberFormat="1" applyFont="1" applyFill="1" applyBorder="1" applyAlignment="1">
      <alignment horizontal="right"/>
    </xf>
    <xf numFmtId="165" fontId="32" fillId="0" borderId="0" xfId="8" applyNumberFormat="1" applyFont="1" applyFill="1" applyBorder="1"/>
    <xf numFmtId="165" fontId="32" fillId="0" borderId="0" xfId="0" applyNumberFormat="1" applyFont="1" applyAlignment="1">
      <alignment horizontal="right"/>
    </xf>
    <xf numFmtId="0" fontId="26" fillId="37" borderId="0" xfId="6" applyFont="1" applyFill="1" applyBorder="1"/>
    <xf numFmtId="0" fontId="27" fillId="37" borderId="11" xfId="51" applyFont="1" applyFill="1" applyBorder="1" applyAlignment="1"/>
    <xf numFmtId="0" fontId="26" fillId="37" borderId="0" xfId="6" quotePrefix="1" applyFont="1" applyFill="1" applyBorder="1"/>
    <xf numFmtId="0" fontId="26" fillId="37" borderId="13" xfId="0" applyFont="1" applyFill="1" applyBorder="1">
      <alignment wrapText="1"/>
    </xf>
    <xf numFmtId="0" fontId="29" fillId="37" borderId="0" xfId="2" applyFont="1" applyFill="1" applyBorder="1" applyAlignment="1"/>
    <xf numFmtId="0" fontId="32" fillId="0" borderId="0" xfId="3" applyFont="1" applyBorder="1" applyAlignment="1">
      <alignment horizontal="left" vertical="center"/>
    </xf>
    <xf numFmtId="16" fontId="32" fillId="0" borderId="0" xfId="3" applyNumberFormat="1" applyFont="1" applyBorder="1">
      <alignment horizontal="right" vertical="center"/>
    </xf>
    <xf numFmtId="0" fontId="32" fillId="0" borderId="0" xfId="3" applyFont="1" applyBorder="1">
      <alignment horizontal="right" vertical="center"/>
    </xf>
    <xf numFmtId="0" fontId="33" fillId="0" borderId="0" xfId="0" applyFont="1">
      <alignment wrapText="1"/>
    </xf>
    <xf numFmtId="165" fontId="32" fillId="0" borderId="0" xfId="0" applyNumberFormat="1" applyFont="1">
      <alignment wrapText="1"/>
    </xf>
    <xf numFmtId="0" fontId="29" fillId="37" borderId="0" xfId="2" applyFont="1" applyFill="1" applyBorder="1" applyAlignment="1">
      <alignment horizontal="left"/>
    </xf>
    <xf numFmtId="0" fontId="29" fillId="37" borderId="0" xfId="2" applyFont="1" applyFill="1" applyBorder="1">
      <alignment horizontal="center"/>
    </xf>
    <xf numFmtId="0" fontId="35" fillId="37" borderId="0" xfId="2" applyFont="1" applyFill="1" applyBorder="1" applyAlignment="1"/>
    <xf numFmtId="0" fontId="36" fillId="37" borderId="0" xfId="12" applyFont="1" applyFill="1" applyBorder="1"/>
    <xf numFmtId="0" fontId="31" fillId="37" borderId="0" xfId="0" applyFont="1" applyFill="1">
      <alignment wrapText="1"/>
    </xf>
    <xf numFmtId="0" fontId="31" fillId="0" borderId="0" xfId="0" applyFont="1">
      <alignment wrapText="1"/>
    </xf>
    <xf numFmtId="0" fontId="30" fillId="37" borderId="0" xfId="4" applyFont="1" applyFill="1" applyBorder="1"/>
    <xf numFmtId="0" fontId="30" fillId="37" borderId="0" xfId="4" applyFont="1" applyFill="1" applyBorder="1" applyAlignment="1">
      <alignment horizontal="left"/>
    </xf>
    <xf numFmtId="0" fontId="31" fillId="37" borderId="10" xfId="0" applyFont="1" applyFill="1" applyBorder="1">
      <alignment wrapText="1"/>
    </xf>
    <xf numFmtId="0" fontId="38" fillId="37" borderId="0" xfId="7" applyFont="1" applyFill="1"/>
    <xf numFmtId="0" fontId="38" fillId="37" borderId="0" xfId="7" applyFont="1" applyFill="1" applyBorder="1"/>
    <xf numFmtId="0" fontId="39" fillId="37" borderId="0" xfId="6" applyFont="1" applyFill="1" applyBorder="1" applyAlignment="1">
      <alignment horizontal="right"/>
    </xf>
    <xf numFmtId="0" fontId="31" fillId="37" borderId="0" xfId="0" applyFont="1" applyFill="1" applyAlignment="1">
      <alignment horizontal="left"/>
    </xf>
    <xf numFmtId="0" fontId="38" fillId="37" borderId="0" xfId="7" applyFont="1" applyFill="1" applyAlignment="1">
      <alignment horizontal="left"/>
    </xf>
    <xf numFmtId="0" fontId="31" fillId="37" borderId="0" xfId="0" applyFont="1" applyFill="1" applyAlignment="1">
      <alignment horizontal="right"/>
    </xf>
    <xf numFmtId="0" fontId="24" fillId="37" borderId="0" xfId="0" applyFont="1" applyFill="1">
      <alignment wrapText="1"/>
    </xf>
    <xf numFmtId="0" fontId="31" fillId="37" borderId="0" xfId="0" applyFont="1" applyFill="1" applyAlignment="1">
      <alignment vertical="center" wrapText="1"/>
    </xf>
    <xf numFmtId="0" fontId="31" fillId="0" borderId="0" xfId="0" applyFont="1" applyAlignment="1">
      <alignment vertical="center" wrapText="1"/>
    </xf>
    <xf numFmtId="0" fontId="33" fillId="2" borderId="0" xfId="4" applyFont="1" applyFill="1" applyBorder="1"/>
    <xf numFmtId="165" fontId="32" fillId="2" borderId="0" xfId="0" applyNumberFormat="1" applyFont="1" applyFill="1" applyAlignment="1">
      <alignment horizontal="right"/>
    </xf>
    <xf numFmtId="0" fontId="33" fillId="0" borderId="0" xfId="4" applyFont="1" applyFill="1" applyBorder="1"/>
    <xf numFmtId="165" fontId="32" fillId="2" borderId="0" xfId="0" applyNumberFormat="1" applyFont="1" applyFill="1">
      <alignment wrapText="1"/>
    </xf>
    <xf numFmtId="0" fontId="29" fillId="37" borderId="0" xfId="2" applyFont="1" applyFill="1" applyBorder="1" applyAlignment="1">
      <alignment vertical="center"/>
    </xf>
    <xf numFmtId="165" fontId="32" fillId="36" borderId="0" xfId="0" applyNumberFormat="1" applyFont="1" applyFill="1" applyAlignment="1">
      <alignment horizontal="right"/>
    </xf>
    <xf numFmtId="0" fontId="34" fillId="0" borderId="0" xfId="0" applyFont="1">
      <alignment wrapText="1"/>
    </xf>
    <xf numFmtId="2" fontId="32" fillId="0" borderId="0" xfId="0" applyNumberFormat="1" applyFont="1" applyAlignment="1">
      <alignment horizontal="right"/>
    </xf>
    <xf numFmtId="2" fontId="32" fillId="0" borderId="0" xfId="0" applyNumberFormat="1" applyFont="1">
      <alignment wrapText="1"/>
    </xf>
    <xf numFmtId="0" fontId="0" fillId="0" borderId="0" xfId="0" applyAlignment="1"/>
    <xf numFmtId="0" fontId="34" fillId="2" borderId="0" xfId="4" applyFont="1" applyFill="1" applyBorder="1"/>
    <xf numFmtId="0" fontId="33" fillId="36" borderId="0" xfId="4" applyFont="1" applyFill="1" applyBorder="1"/>
    <xf numFmtId="165" fontId="32" fillId="36" borderId="0" xfId="0" applyNumberFormat="1" applyFont="1" applyFill="1">
      <alignment wrapText="1"/>
    </xf>
    <xf numFmtId="0" fontId="33" fillId="2" borderId="0" xfId="4" applyFont="1" applyFill="1" applyAlignment="1">
      <alignment wrapText="1"/>
    </xf>
    <xf numFmtId="0" fontId="33" fillId="0" borderId="0" xfId="12" applyFont="1" applyFill="1"/>
    <xf numFmtId="0" fontId="31" fillId="36" borderId="0" xfId="0" applyFont="1" applyFill="1">
      <alignment wrapText="1"/>
    </xf>
    <xf numFmtId="0" fontId="31" fillId="36" borderId="0" xfId="0" applyFont="1" applyFill="1" applyAlignment="1">
      <alignment vertical="center" wrapText="1"/>
    </xf>
    <xf numFmtId="0" fontId="0" fillId="37" borderId="0" xfId="0" applyFill="1">
      <alignment wrapText="1"/>
    </xf>
    <xf numFmtId="16" fontId="32" fillId="0" borderId="0" xfId="3" applyNumberFormat="1" applyFont="1" applyBorder="1" applyAlignment="1">
      <alignment horizontal="left" vertical="center"/>
    </xf>
    <xf numFmtId="165" fontId="32" fillId="0" borderId="0" xfId="8" applyNumberFormat="1" applyFont="1" applyFill="1" applyAlignment="1"/>
    <xf numFmtId="165" fontId="32" fillId="0" borderId="0" xfId="8" applyNumberFormat="1" applyFont="1" applyFill="1" applyAlignment="1">
      <alignment horizontal="right"/>
    </xf>
    <xf numFmtId="0" fontId="37" fillId="0" borderId="0" xfId="9" applyFont="1" applyFill="1" applyBorder="1"/>
    <xf numFmtId="0" fontId="40" fillId="0" borderId="0" xfId="0" applyFont="1">
      <alignment wrapText="1"/>
    </xf>
    <xf numFmtId="0" fontId="28" fillId="37" borderId="12" xfId="1" applyFont="1" applyFill="1" applyBorder="1" applyAlignment="1">
      <alignment horizontal="center" wrapText="1"/>
    </xf>
    <xf numFmtId="0" fontId="28" fillId="37" borderId="14" xfId="1" applyFont="1" applyFill="1" applyBorder="1" applyAlignment="1">
      <alignment horizontal="center" wrapText="1"/>
    </xf>
  </cellXfs>
  <cellStyles count="52">
    <cellStyle name="20% - Accent1" xfId="31" builtinId="30" customBuiltin="1"/>
    <cellStyle name="20% - Accent2" xfId="35" builtinId="34" customBuiltin="1"/>
    <cellStyle name="20% - Accent3" xfId="39" builtinId="38" customBuiltin="1"/>
    <cellStyle name="20% - Accent4" xfId="43" builtinId="42" customBuiltin="1"/>
    <cellStyle name="20% - Accent5" xfId="47" builtinId="46" customBuiltin="1"/>
    <cellStyle name="20% - Accent6" xfId="10" builtinId="50" customBuiltin="1"/>
    <cellStyle name="40% - Accent1" xfId="32" builtinId="31" customBuiltin="1"/>
    <cellStyle name="40% - Accent2" xfId="36" builtinId="35" customBuiltin="1"/>
    <cellStyle name="40% - Accent3" xfId="40" builtinId="39" customBuiltin="1"/>
    <cellStyle name="40% - Accent4" xfId="44" builtinId="43" customBuiltin="1"/>
    <cellStyle name="40% - Accent5" xfId="48" builtinId="47" customBuiltin="1"/>
    <cellStyle name="40% - Accent6" xfId="50" builtinId="51" customBuiltin="1"/>
    <cellStyle name="60% - Accent1" xfId="33" builtinId="32" customBuiltin="1"/>
    <cellStyle name="60% - Accent2" xfId="37" builtinId="36" customBuiltin="1"/>
    <cellStyle name="60% - Accent3" xfId="41" builtinId="40" customBuiltin="1"/>
    <cellStyle name="60% - Accent4" xfId="45" builtinId="44" customBuiltin="1"/>
    <cellStyle name="60% - Accent5" xfId="49" builtinId="48" customBuiltin="1"/>
    <cellStyle name="60% - Accent6" xfId="11" builtinId="52" customBuiltin="1"/>
    <cellStyle name="Accent1" xfId="30" builtinId="29" customBuiltin="1"/>
    <cellStyle name="Accent2" xfId="34" builtinId="33" customBuiltin="1"/>
    <cellStyle name="Accent3" xfId="38" builtinId="37" customBuiltin="1"/>
    <cellStyle name="Accent4" xfId="42" builtinId="41" customBuiltin="1"/>
    <cellStyle name="Accent5" xfId="46" builtinId="45" customBuiltin="1"/>
    <cellStyle name="Accent6" xfId="9" builtinId="49" customBuiltin="1"/>
    <cellStyle name="Bad" xfId="19" builtinId="27" customBuiltin="1"/>
    <cellStyle name="Calculation" xfId="23" builtinId="22" customBuiltin="1"/>
    <cellStyle name="Check Cell" xfId="25" builtinId="23" customBuiltin="1"/>
    <cellStyle name="Comma" xfId="8" builtinId="3" customBuiltin="1"/>
    <cellStyle name="Comma [0]" xfId="13" builtinId="6" customBuiltin="1"/>
    <cellStyle name="Currency" xfId="14" builtinId="4" customBuiltin="1"/>
    <cellStyle name="Currency [0]" xfId="15" builtinId="7" customBuiltin="1"/>
    <cellStyle name="EmployeeInfo" xfId="6" xr:uid="{00000000-0005-0000-0000-000004000000}"/>
    <cellStyle name="EmployeeInfoLabels" xfId="7" xr:uid="{00000000-0005-0000-0000-000005000000}"/>
    <cellStyle name="Explanatory Text" xfId="28" builtinId="53" customBuiltin="1"/>
    <cellStyle name="Good" xfId="18"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51" builtinId="8"/>
    <cellStyle name="Input" xfId="21" builtinId="20" customBuiltin="1"/>
    <cellStyle name="Linked Cell" xfId="24" builtinId="24" customBuiltin="1"/>
    <cellStyle name="Monthly Totals" xfId="5" xr:uid="{00000000-0005-0000-0000-00000A000000}"/>
    <cellStyle name="Neutral" xfId="20" builtinId="28" customBuiltin="1"/>
    <cellStyle name="Normal" xfId="0" builtinId="0" customBuiltin="1"/>
    <cellStyle name="Note" xfId="27" builtinId="10" customBuiltin="1"/>
    <cellStyle name="Output" xfId="22" builtinId="21" customBuiltin="1"/>
    <cellStyle name="Percent" xfId="16" builtinId="5" customBuiltin="1"/>
    <cellStyle name="Table column 1" xfId="12" xr:uid="{00000000-0005-0000-0000-00000C000000}"/>
    <cellStyle name="Title" xfId="17" builtinId="15" customBuiltin="1"/>
    <cellStyle name="Total" xfId="29" builtinId="25" customBuiltin="1"/>
    <cellStyle name="Warning Text" xfId="26" builtinId="11" customBuiltin="1"/>
  </cellStyles>
  <dxfs count="227">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none">
          <fgColor indexed="64"/>
          <bgColor indexed="65"/>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none">
          <fgColor indexed="64"/>
          <bgColor indexed="65"/>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ill>
        <patternFill>
          <bgColor theme="0"/>
        </patternFill>
      </fill>
    </dxf>
    <dxf>
      <fill>
        <patternFill>
          <bgColor theme="0" tint="-4.9989318521683403E-2"/>
        </patternFill>
      </fill>
    </dxf>
    <dxf>
      <font>
        <b/>
        <i val="0"/>
        <color theme="1" tint="0.14996795556505021"/>
      </font>
    </dxf>
    <dxf>
      <border>
        <top style="medium">
          <color rgb="FFF2B92C"/>
        </top>
      </border>
    </dxf>
    <dxf>
      <font>
        <b/>
        <i val="0"/>
        <color theme="1" tint="0.14996795556505021"/>
      </font>
      <fill>
        <patternFill>
          <bgColor theme="0"/>
        </patternFill>
      </fill>
      <border diagonalUp="0" diagonalDown="0">
        <left/>
        <right/>
        <top/>
        <bottom style="medium">
          <color rgb="FFF2B92C"/>
        </bottom>
        <vertical/>
        <horizontal/>
      </border>
    </dxf>
    <dxf>
      <font>
        <color theme="1" tint="0.14996795556505021"/>
      </font>
      <fill>
        <patternFill patternType="none">
          <bgColor auto="1"/>
        </patternFill>
      </fill>
    </dxf>
  </dxfs>
  <tableStyles count="1" defaultTableStyle="TimeSheet" defaultPivotStyle="PivotStyleLight16">
    <tableStyle name="TimeSheet" pivot="0" count="6" xr9:uid="{00000000-0011-0000-FFFF-FFFF00000000}">
      <tableStyleElement type="wholeTable" dxfId="226"/>
      <tableStyleElement type="headerRow" dxfId="225"/>
      <tableStyleElement type="totalRow" dxfId="224"/>
      <tableStyleElement type="firstColumn" dxfId="223"/>
      <tableStyleElement type="firstRowStripe" dxfId="222"/>
      <tableStyleElement type="secondRowStripe" dxfId="221"/>
    </tableStyle>
  </tableStyles>
  <colors>
    <mruColors>
      <color rgb="FFF2B92C"/>
      <color rgb="FFBC7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Full 2024 Time Split - Sally</a:t>
            </a:r>
          </a:p>
        </c:rich>
      </c:tx>
      <c:overlay val="0"/>
    </c:title>
    <c:autoTitleDeleted val="0"/>
    <c:plotArea>
      <c:layout/>
      <c:pieChart>
        <c:varyColors val="1"/>
        <c:ser>
          <c:idx val="0"/>
          <c:order val="0"/>
          <c:cat>
            <c:strRef>
              <c:f>Analysis!$A$3:$A$7</c:f>
              <c:strCache>
                <c:ptCount val="5"/>
                <c:pt idx="0">
                  <c:v>RPS</c:v>
                </c:pt>
                <c:pt idx="1">
                  <c:v>MAC</c:v>
                </c:pt>
                <c:pt idx="2">
                  <c:v>CAS</c:v>
                </c:pt>
                <c:pt idx="3">
                  <c:v>LMM</c:v>
                </c:pt>
                <c:pt idx="4">
                  <c:v>OUT</c:v>
                </c:pt>
              </c:strCache>
            </c:strRef>
          </c:cat>
          <c:val>
            <c:numRef>
              <c:f>Analysis!$B$3:$B$7</c:f>
              <c:numCache>
                <c:formatCode>General</c:formatCode>
                <c:ptCount val="5"/>
                <c:pt idx="0">
                  <c:v>339</c:v>
                </c:pt>
                <c:pt idx="1">
                  <c:v>41</c:v>
                </c:pt>
                <c:pt idx="2">
                  <c:v>2</c:v>
                </c:pt>
                <c:pt idx="3">
                  <c:v>2</c:v>
                </c:pt>
                <c:pt idx="4">
                  <c:v>6</c:v>
                </c:pt>
              </c:numCache>
            </c:numRef>
          </c:val>
          <c:extLst>
            <c:ext xmlns:c16="http://schemas.microsoft.com/office/drawing/2014/chart" uri="{C3380CC4-5D6E-409C-BE32-E72D297353CC}">
              <c16:uniqueId val="{00000001-542B-422D-AD5B-F951D8D35DA4}"/>
            </c:ext>
          </c:extLst>
        </c:ser>
        <c:dLbls>
          <c:showLegendKey val="0"/>
          <c:showVal val="0"/>
          <c:showCatName val="0"/>
          <c:showSerName val="0"/>
          <c:showPercent val="0"/>
          <c:showBubbleSize val="0"/>
          <c:showLeaderLines val="1"/>
        </c:dLbls>
        <c:firstSliceAng val="0"/>
      </c:pieChart>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Q1 2024 Time Split - Sally</a:t>
            </a:r>
          </a:p>
        </c:rich>
      </c:tx>
      <c:overlay val="0"/>
    </c:title>
    <c:autoTitleDeleted val="0"/>
    <c:plotArea>
      <c:layout/>
      <c:pieChart>
        <c:varyColors val="1"/>
        <c:ser>
          <c:idx val="0"/>
          <c:order val="0"/>
          <c:cat>
            <c:strRef>
              <c:f>Analysis!$H$3:$H$7</c:f>
              <c:strCache>
                <c:ptCount val="5"/>
                <c:pt idx="0">
                  <c:v>RPS</c:v>
                </c:pt>
                <c:pt idx="1">
                  <c:v>MAC</c:v>
                </c:pt>
                <c:pt idx="2">
                  <c:v>CAS</c:v>
                </c:pt>
                <c:pt idx="3">
                  <c:v>LMM</c:v>
                </c:pt>
                <c:pt idx="4">
                  <c:v>OUT</c:v>
                </c:pt>
              </c:strCache>
            </c:strRef>
          </c:cat>
          <c:val>
            <c:numRef>
              <c:f>Analysis!$I$3:$I$7</c:f>
              <c:numCache>
                <c:formatCode>General</c:formatCode>
                <c:ptCount val="5"/>
                <c:pt idx="0">
                  <c:v>339</c:v>
                </c:pt>
                <c:pt idx="1">
                  <c:v>41</c:v>
                </c:pt>
                <c:pt idx="2">
                  <c:v>2</c:v>
                </c:pt>
                <c:pt idx="3">
                  <c:v>2</c:v>
                </c:pt>
                <c:pt idx="4">
                  <c:v>6</c:v>
                </c:pt>
              </c:numCache>
            </c:numRef>
          </c:val>
          <c:extLst>
            <c:ext xmlns:c16="http://schemas.microsoft.com/office/drawing/2014/chart" uri="{C3380CC4-5D6E-409C-BE32-E72D297353CC}">
              <c16:uniqueId val="{00000001-2697-483D-A588-19219663FFF7}"/>
            </c:ext>
          </c:extLst>
        </c:ser>
        <c:dLbls>
          <c:showLegendKey val="0"/>
          <c:showVal val="0"/>
          <c:showCatName val="0"/>
          <c:showSerName val="0"/>
          <c:showPercent val="0"/>
          <c:showBubbleSize val="0"/>
          <c:showLeaderLines val="1"/>
        </c:dLbls>
        <c:firstSliceAng val="0"/>
      </c:pieChart>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14</xdr:row>
      <xdr:rowOff>0</xdr:rowOff>
    </xdr:from>
    <xdr:to>
      <xdr:col>6</xdr:col>
      <xdr:colOff>114300</xdr:colOff>
      <xdr:row>33</xdr:row>
      <xdr:rowOff>38100</xdr:rowOff>
    </xdr:to>
    <xdr:graphicFrame macro="">
      <xdr:nvGraphicFramePr>
        <xdr:cNvPr id="2" name="Chart 1">
          <a:extLst>
            <a:ext uri="{FF2B5EF4-FFF2-40B4-BE49-F238E27FC236}">
              <a16:creationId xmlns:a16="http://schemas.microsoft.com/office/drawing/2014/main" id="{21DB0769-26CC-50AA-BE63-4D97BB70C4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14</xdr:row>
      <xdr:rowOff>0</xdr:rowOff>
    </xdr:from>
    <xdr:to>
      <xdr:col>13</xdr:col>
      <xdr:colOff>228600</xdr:colOff>
      <xdr:row>33</xdr:row>
      <xdr:rowOff>38100</xdr:rowOff>
    </xdr:to>
    <xdr:graphicFrame macro="">
      <xdr:nvGraphicFramePr>
        <xdr:cNvPr id="3" name="Chart 2">
          <a:extLst>
            <a:ext uri="{FF2B5EF4-FFF2-40B4-BE49-F238E27FC236}">
              <a16:creationId xmlns:a16="http://schemas.microsoft.com/office/drawing/2014/main" id="{E4868E75-6260-106A-C4A6-6599284E55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0</xdr:row>
          <xdr:rowOff>0</xdr:rowOff>
        </xdr:from>
        <xdr:to>
          <xdr:col>8</xdr:col>
          <xdr:colOff>1073150</xdr:colOff>
          <xdr:row>2</xdr:row>
          <xdr:rowOff>0</xdr:rowOff>
        </xdr:to>
        <xdr:sp macro="" textlink="">
          <xdr:nvSpPr>
            <xdr:cNvPr id="2049" name="SubmitWeeklyTasks"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January" displayName="January" ref="D2:J18" totalsRowCount="1" headerRowDxfId="220" dataDxfId="219" totalsRowDxfId="218" headerRowCellStyle="Heading 3">
  <autoFilter ref="D2:J17" xr:uid="{00000000-0009-0000-0100-000001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000-000001000000}" name="Task Code" totalsRowLabel="Total" dataDxfId="217" totalsRowDxfId="216" dataCellStyle="Table column 1"/>
    <tableColumn id="2" xr3:uid="{00000000-0010-0000-0000-000002000000}" name="Hours 01/01" totalsRowFunction="custom" dataDxfId="215" totalsRowDxfId="214" dataCellStyle="Comma">
      <totalsRowFormula>SUM(E3:E17)</totalsRowFormula>
    </tableColumn>
    <tableColumn id="4" xr3:uid="{00000000-0010-0000-0000-000004000000}" name="Hours 08/01" totalsRowFunction="custom" dataDxfId="213" totalsRowDxfId="212" dataCellStyle="Comma">
      <totalsRowFormula>SUM(F3:F17)</totalsRowFormula>
    </tableColumn>
    <tableColumn id="6" xr3:uid="{00000000-0010-0000-0000-000006000000}" name="Hours 15/01" totalsRowFunction="custom" dataDxfId="211" totalsRowDxfId="210" dataCellStyle="Comma">
      <totalsRowFormula>SUM(G3:G17)</totalsRowFormula>
    </tableColumn>
    <tableColumn id="8" xr3:uid="{00000000-0010-0000-0000-000008000000}" name="Hours 22/01" totalsRowFunction="custom" dataDxfId="209" totalsRowDxfId="208" dataCellStyle="Comma">
      <totalsRowFormula>SUM(H3:H17)</totalsRowFormula>
    </tableColumn>
    <tableColumn id="10" xr3:uid="{00000000-0010-0000-0000-00000A000000}" name="Hours 29/01" totalsRowFunction="custom" dataDxfId="207" totalsRowDxfId="206" dataCellStyle="Comma">
      <totalsRowFormula>SUM(I3:I17)</totalsRowFormula>
    </tableColumn>
    <tableColumn id="12" xr3:uid="{EA7CF242-69D3-461C-ACCF-F9744525ACDE}" name="Total" totalsRowFunction="custom" dataDxfId="205" totalsRowDxfId="204" dataCellStyle="Comma">
      <calculatedColumnFormula>January[[#This Row],[Hours 01/01]]+January[[#This Row],[Hours 08/01]]+January[[#This Row],[Hours 15/01]]+January[[#This Row],[Hours 22/01]]+January[[#This Row],[Hours 29/01]]</calculatedColumnFormula>
      <totalsRowFormula>SUM(January[Total])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January in this table. Total Weekly Hours and Total Regular Hours are calculated automatically"/>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arch" displayName="March" ref="D38:J54" totalsRowCount="1" headerRowDxfId="203" dataDxfId="202" totalsRowDxfId="201" headerRowCellStyle="Heading 3">
  <autoFilter ref="D38:J53" xr:uid="{00000000-0009-0000-0100-000003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200-000001000000}" name="Task Code" totalsRowLabel="Total" dataDxfId="200" totalsRowDxfId="199" dataCellStyle="Heading 4"/>
    <tableColumn id="2" xr3:uid="{00000000-0010-0000-0200-000002000000}" name="Hours 04/03" totalsRowFunction="custom" dataDxfId="198" totalsRowDxfId="197">
      <totalsRowFormula>SUM(E39:E53)</totalsRowFormula>
    </tableColumn>
    <tableColumn id="4" xr3:uid="{00000000-0010-0000-0200-000004000000}" name="Hours 11/03" totalsRowFunction="custom" dataDxfId="196" totalsRowDxfId="195">
      <totalsRowFormula>SUM(F39:F53)</totalsRowFormula>
    </tableColumn>
    <tableColumn id="6" xr3:uid="{00000000-0010-0000-0200-000006000000}" name="Hours 18/03" totalsRowFunction="custom" dataDxfId="194" totalsRowDxfId="193">
      <totalsRowFormula>SUM(G39:G53)</totalsRowFormula>
    </tableColumn>
    <tableColumn id="8" xr3:uid="{00000000-0010-0000-0200-000008000000}" name="Hours 25/03" totalsRowFunction="custom" dataDxfId="192" totalsRowDxfId="191">
      <totalsRowFormula>SUM(H39:H53)</totalsRowFormula>
    </tableColumn>
    <tableColumn id="3" xr3:uid="{51E5A886-A648-4D34-8AD5-FC2DBBF4F99F}" name="Ignore" dataDxfId="190" totalsRowDxfId="189"/>
    <tableColumn id="10" xr3:uid="{BE9C8CF4-F583-4A45-96ED-FE3FDBE872E9}" name="Total" totalsRowFunction="custom" dataDxfId="188" totalsRowDxfId="187">
      <calculatedColumnFormula>March[[#This Row],[Hours 04/03]]+March[[#This Row],[Hours 11/03]]+March[[#This Row],[Hours 18/03]]+March[[#This Row],[Hours 25/03]]</calculatedColumnFormula>
      <totalsRowFormula>SUM(March[Total])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March in this table. Total Weekly Hours and Total Regular Hours are calculated automatically"/>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April" displayName="April" ref="D56:J72" totalsRowCount="1" headerRowDxfId="186" dataDxfId="185" totalsRowDxfId="184" headerRowCellStyle="Heading 3">
  <autoFilter ref="D56:J71" xr:uid="{00000000-0009-0000-0100-000004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300-000001000000}" name="Task Code" totalsRowLabel="Total" dataDxfId="183" totalsRowDxfId="182" dataCellStyle="Heading 4"/>
    <tableColumn id="2" xr3:uid="{00000000-0010-0000-0300-000002000000}" name="Hours 01/04" totalsRowFunction="custom" dataDxfId="181" totalsRowDxfId="180">
      <totalsRowFormula>SUM(E57:E71)</totalsRowFormula>
    </tableColumn>
    <tableColumn id="4" xr3:uid="{00000000-0010-0000-0300-000004000000}" name="Hours 08/04" totalsRowFunction="custom" dataDxfId="179" totalsRowDxfId="178">
      <totalsRowFormula>SUM(F57:F71)</totalsRowFormula>
    </tableColumn>
    <tableColumn id="6" xr3:uid="{00000000-0010-0000-0300-000006000000}" name="Hours 15/04" totalsRowFunction="custom" dataDxfId="177" totalsRowDxfId="176">
      <totalsRowFormula>SUM(G57:G71)</totalsRowFormula>
    </tableColumn>
    <tableColumn id="8" xr3:uid="{00000000-0010-0000-0300-000008000000}" name="Hours 22/04" totalsRowFunction="custom" dataDxfId="175" totalsRowDxfId="174">
      <totalsRowFormula>SUM(H57:H71)</totalsRowFormula>
    </tableColumn>
    <tableColumn id="13" xr3:uid="{68E7F4D4-BD8D-4B7D-BA73-0DBADC80DFC5}" name="Hours 29/04" dataDxfId="173" totalsRowDxfId="172"/>
    <tableColumn id="10" xr3:uid="{1CCD1362-9C52-40F4-8FB9-1119AC07ECAC}" name="Total" totalsRowFunction="custom" dataDxfId="171" totalsRowDxfId="170">
      <calculatedColumnFormula>April[[#This Row],[Hours 01/04]]+April[[#This Row],[Hours 08/04]]+April[[#This Row],[Hours 15/04]]+April[[#This Row],[Hours 22/04]]+April[[#This Row],[Hours 29/04]]</calculatedColumnFormula>
      <totalsRowFormula>SUM(April[Total])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April in this table. Total Weekly Hours and Total Regular Hours are calculated automatically"/>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May" displayName="May" ref="D74:J90" totalsRowCount="1" headerRowDxfId="169" dataDxfId="168" totalsRowDxfId="167" headerRowCellStyle="Heading 3">
  <autoFilter ref="D74:J89" xr:uid="{00000000-0009-0000-0100-000005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400-000001000000}" name="Task Code" totalsRowLabel="Total" dataDxfId="166" totalsRowDxfId="165" dataCellStyle="Heading 4"/>
    <tableColumn id="2" xr3:uid="{00000000-0010-0000-0400-000002000000}" name="Hours 06/05" totalsRowFunction="custom" dataDxfId="164" totalsRowDxfId="163">
      <totalsRowFormula>SUM(E75:E89)</totalsRowFormula>
    </tableColumn>
    <tableColumn id="4" xr3:uid="{00000000-0010-0000-0400-000004000000}" name="Hours 13/05" totalsRowFunction="custom" dataDxfId="162" totalsRowDxfId="161">
      <totalsRowFormula>SUM(F75:F89)</totalsRowFormula>
    </tableColumn>
    <tableColumn id="6" xr3:uid="{00000000-0010-0000-0400-000006000000}" name="Hours 20/05" totalsRowFunction="custom" dataDxfId="160" totalsRowDxfId="159">
      <totalsRowFormula>SUM(G75:G89)</totalsRowFormula>
    </tableColumn>
    <tableColumn id="8" xr3:uid="{00000000-0010-0000-0400-000008000000}" name="Hours 27/05" totalsRowFunction="custom" dataDxfId="158" totalsRowDxfId="157">
      <totalsRowFormula>SUM(H75:H89)</totalsRowFormula>
    </tableColumn>
    <tableColumn id="3" xr3:uid="{4CC3E520-2188-4DBE-91C6-4105B4444210}" name="Ignore" dataDxfId="156" totalsRowDxfId="155"/>
    <tableColumn id="12" xr3:uid="{6B4CC3C5-C083-424A-8883-82421EB3D2E9}" name="Total" totalsRowFunction="custom" dataDxfId="154" totalsRowDxfId="153">
      <calculatedColumnFormula>May[[#This Row],[Hours 06/05]]+May[[#This Row],[Hours 13/05]]+May[[#This Row],[Hours 20/05]]+May[[#This Row],[Hours 27/05]]</calculatedColumnFormula>
      <totalsRowFormula>SUM(May[Total])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May in this table. Total Weekly Hours and Total Regular Hours are calculated automatically"/>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June" displayName="June" ref="D92:J108" totalsRowCount="1" headerRowDxfId="152" dataDxfId="151" totalsRowDxfId="150" headerRowCellStyle="Heading 3">
  <autoFilter ref="D92:J107" xr:uid="{00000000-0009-0000-0100-000006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Task Code" totalsRowLabel="Total" dataDxfId="149" totalsRowDxfId="148" dataCellStyle="Heading 4"/>
    <tableColumn id="2" xr3:uid="{00000000-0010-0000-0500-000002000000}" name="Hours 03/06" totalsRowFunction="custom" dataDxfId="147" totalsRowDxfId="146">
      <totalsRowFormula>SUM(E93:E107)</totalsRowFormula>
    </tableColumn>
    <tableColumn id="4" xr3:uid="{00000000-0010-0000-0500-000004000000}" name="Hours 10/06" totalsRowFunction="custom" dataDxfId="145" totalsRowDxfId="144">
      <totalsRowFormula>SUM(F93:F107)</totalsRowFormula>
    </tableColumn>
    <tableColumn id="6" xr3:uid="{00000000-0010-0000-0500-000006000000}" name="Hours 17/06" totalsRowFunction="custom" dataDxfId="143" totalsRowDxfId="142">
      <totalsRowFormula>SUM(G93:G107)</totalsRowFormula>
    </tableColumn>
    <tableColumn id="8" xr3:uid="{00000000-0010-0000-0500-000008000000}" name="Hours 24/06" totalsRowFunction="custom" dataDxfId="141" totalsRowDxfId="140">
      <totalsRowFormula>SUM(H93:H107)</totalsRowFormula>
    </tableColumn>
    <tableColumn id="3" xr3:uid="{4D168344-EA86-49C1-A692-713C2B626B84}" name="Ignore" dataDxfId="139" totalsRowDxfId="138"/>
    <tableColumn id="10" xr3:uid="{264B03BF-30FE-4C2A-8599-D238F296BC58}" name="Total" totalsRowFunction="custom" dataDxfId="137" totalsRowDxfId="136">
      <calculatedColumnFormula>June[[#This Row],[Hours 03/06]]+June[[#This Row],[Hours 10/06]]+June[[#This Row],[Hours 17/06]]+June[[#This Row],[Hours 24/06]]</calculatedColumnFormula>
      <totalsRowFormula>SUM(June[Total])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June in this table. Total Weekly Hours and Total Regular Hours are calculated automatically"/>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July" displayName="July" ref="D110:J126" totalsRowCount="1" headerRowDxfId="135" dataDxfId="134" totalsRowDxfId="133" headerRowCellStyle="Heading 3">
  <autoFilter ref="D110:J125" xr:uid="{00000000-0009-0000-0100-000007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600-000001000000}" name="Task Code" totalsRowLabel="Total" dataDxfId="132" totalsRowDxfId="131" dataCellStyle="Heading 4"/>
    <tableColumn id="2" xr3:uid="{00000000-0010-0000-0600-000002000000}" name="Hours 01/07" totalsRowFunction="custom" dataDxfId="130" totalsRowDxfId="129">
      <totalsRowFormula>SUM(E111:E125)</totalsRowFormula>
    </tableColumn>
    <tableColumn id="4" xr3:uid="{00000000-0010-0000-0600-000004000000}" name="Hours 08/07" totalsRowFunction="custom" dataDxfId="128" totalsRowDxfId="127">
      <totalsRowFormula>SUM(F111:F125)</totalsRowFormula>
    </tableColumn>
    <tableColumn id="6" xr3:uid="{00000000-0010-0000-0600-000006000000}" name="Hours 15/07" totalsRowFunction="custom" dataDxfId="126" totalsRowDxfId="125">
      <totalsRowFormula>SUM(G111:G125)</totalsRowFormula>
    </tableColumn>
    <tableColumn id="8" xr3:uid="{00000000-0010-0000-0600-000008000000}" name="Hours 22/07" totalsRowFunction="custom" dataDxfId="124" totalsRowDxfId="123">
      <totalsRowFormula>SUM(H111:H125)</totalsRowFormula>
    </tableColumn>
    <tableColumn id="10" xr3:uid="{00000000-0010-0000-0600-00000A000000}" name="Hours 29/07" totalsRowFunction="custom" dataDxfId="122" totalsRowDxfId="121">
      <totalsRowFormula>SUM(I111:I125)</totalsRowFormula>
    </tableColumn>
    <tableColumn id="12" xr3:uid="{D2ADE9B9-3F03-4CB0-BBD9-9D3EB695558E}" name="Total" totalsRowFunction="custom" dataDxfId="120" totalsRowDxfId="119">
      <calculatedColumnFormula>July[[#This Row],[Hours 01/07]]+July[[#This Row],[Hours 08/07]]+July[[#This Row],[Hours 15/07]]+July[[#This Row],[Hours 22/07]]+July[[#This Row],[Hours 29/07]]</calculatedColumnFormula>
      <totalsRowFormula>SUM(July[Total])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July in this table. Total Weekly Hours and Total Regular Hours are calculated automatically"/>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D36DE58-F08D-41DE-B5C7-080CA996FFC3}" name="October" displayName="October" ref="D164:J180" totalsRowCount="1" headerRowDxfId="118" dataDxfId="117" totalsRowDxfId="116" headerRowCellStyle="Heading 3">
  <autoFilter ref="D164:J179" xr:uid="{7738120B-AE60-464B-BBB2-E8244835185E}">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E26FBE38-62DA-48A4-BD13-30BC4141F5C3}" name="Task Code" totalsRowLabel="Total" dataDxfId="115" totalsRowDxfId="114" dataCellStyle="Heading 4"/>
    <tableColumn id="2" xr3:uid="{EAA6CD08-D237-4AB1-A3B7-0658489595A6}" name="Hours 07/10" totalsRowFunction="sum" dataDxfId="113" totalsRowDxfId="112"/>
    <tableColumn id="4" xr3:uid="{E669B4EB-D44F-428E-A64B-864E5538E354}" name="Hours 14/10" totalsRowFunction="sum" dataDxfId="111" totalsRowDxfId="110"/>
    <tableColumn id="6" xr3:uid="{E0410AFF-9A81-4570-8336-C1C0B94AE31F}" name="Hours 21/10" totalsRowFunction="sum" dataDxfId="109" totalsRowDxfId="108"/>
    <tableColumn id="8" xr3:uid="{DE4CFC82-2A30-4F0A-8BCF-180B0B9203AE}" name="Hours 28/10" totalsRowFunction="sum" dataDxfId="107" totalsRowDxfId="106"/>
    <tableColumn id="3" xr3:uid="{87E249D1-DB0E-4F8F-A713-5683694BFD78}" name="Ignore" dataDxfId="105" totalsRowDxfId="104"/>
    <tableColumn id="12" xr3:uid="{C813FE68-71B5-4A64-897D-85AD72031093}" name="Total" totalsRowFunction="custom" dataDxfId="103" totalsRowDxfId="102">
      <calculatedColumnFormula>October[[#This Row],[Hours 07/10]]+October[[#This Row],[Hours 14/10]]+October[[#This Row],[Hours 21/10]]+October[[#This Row],[Hours 28/10]]</calculatedColumnFormula>
      <totalsRowFormula>SUM(October[Total])</totalsRowFormula>
    </tableColumn>
  </tableColumns>
  <tableStyleInfo name="TimeSheet" showFirstColumn="1" showLastColumn="0" showRowStripes="0" showColumnStripes="0"/>
  <extLst>
    <ext xmlns:x14="http://schemas.microsoft.com/office/spreadsheetml/2009/9/main" uri="{504A1905-F514-4f6f-8877-14C23A59335A}">
      <x14:table altTextSummary="Enter Regular and Overtime hours for each weekday and all weeks in the month of October in this table. Total Weekly Hours and Total Regular Hours are calculated automatically"/>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9E75F0-9A12-46A1-B707-F17114423A31}" name="November" displayName="November" ref="D182:J198" totalsRowCount="1" headerRowDxfId="101" dataDxfId="100" totalsRowDxfId="99" headerRowCellStyle="Heading 3">
  <autoFilter ref="D182:J197" xr:uid="{3A7E7495-FF0F-42C9-93ED-76669D55598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4A2CBF1-2B8D-43A2-81AC-170A2DF7CA68}" name="Task Code" totalsRowLabel="Total" dataDxfId="98" totalsRowDxfId="97" dataCellStyle="Heading 4"/>
    <tableColumn id="2" xr3:uid="{FA8DA2C8-8CCB-4717-AFAB-CC50B17D67DB}" name="Hours 04/11" totalsRowFunction="sum" dataDxfId="96" totalsRowDxfId="95"/>
    <tableColumn id="4" xr3:uid="{B9E22EEC-B5FD-436F-9D89-51A4E36DEB3D}" name="Hours 11/11" totalsRowFunction="sum" dataDxfId="94" totalsRowDxfId="93"/>
    <tableColumn id="6" xr3:uid="{CCB4FB4F-B2CF-4855-B11E-7DBFD861A163}" name="Hours 18/11" totalsRowFunction="sum" dataDxfId="92" totalsRowDxfId="91"/>
    <tableColumn id="8" xr3:uid="{098B34DD-5E46-4CCA-BCB7-03538BE8208A}" name="Hours 25/11" totalsRowFunction="sum" dataDxfId="90" totalsRowDxfId="89"/>
    <tableColumn id="3" xr3:uid="{DBB381AA-FEFD-427E-8099-3AF21257A237}" name="Ignore" dataDxfId="88" totalsRowDxfId="87"/>
    <tableColumn id="10" xr3:uid="{A677730D-1DD0-4F99-8011-2C7CAB85A329}" name="Total" totalsRowFunction="custom" dataDxfId="86" totalsRowDxfId="85">
      <calculatedColumnFormula>November[[#This Row],[Hours 04/11]]+November[[#This Row],[Hours 11/11]]+November[[#This Row],[Hours 18/11]]+November[[#This Row],[Hours 25/11]]</calculatedColumnFormula>
      <totalsRowFormula>SUM(November[Total])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November in this table. Total Weekly Hours and Total Regular Hours are calculated automatically"/>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77FDD2E-2177-4960-9F24-333D4EF1D7D2}" name="December" displayName="December" ref="D200:J216" totalsRowCount="1" headerRowDxfId="84" dataDxfId="83" totalsRowDxfId="82" headerRowCellStyle="Heading 3">
  <autoFilter ref="D200:J215" xr:uid="{A191AAD2-5F88-443E-A343-88FCD8031C9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5CC3A1BC-A67D-431C-944A-52D1EC5E8AFF}" name="Task Code" totalsRowLabel="Total" dataDxfId="81" totalsRowDxfId="80" dataCellStyle="Heading 4"/>
    <tableColumn id="2" xr3:uid="{46FDD981-9A2A-41C5-B071-9329463B09E2}" name="Hours 02/12" totalsRowFunction="sum" dataDxfId="79" totalsRowDxfId="78"/>
    <tableColumn id="4" xr3:uid="{21B28A6D-6DF9-49ED-9110-7281329FC686}" name="Hours 09/12" totalsRowFunction="sum" dataDxfId="77" totalsRowDxfId="76"/>
    <tableColumn id="6" xr3:uid="{D0D55320-5750-4F57-8833-14AB50C97F20}" name="Hours 16/12" totalsRowFunction="sum" dataDxfId="75" totalsRowDxfId="74"/>
    <tableColumn id="8" xr3:uid="{C13AE63F-4AD3-476D-A80F-3D69CD85B38A}" name="Hours 23/12" totalsRowFunction="sum" dataDxfId="73" totalsRowDxfId="72"/>
    <tableColumn id="11" xr3:uid="{1B085157-AF13-4836-BB33-E3C941106D85}" name="Hours 30/12" totalsRowFunction="sum" dataDxfId="71" totalsRowDxfId="70"/>
    <tableColumn id="10" xr3:uid="{ECC9D767-BF6D-40E8-8519-C9E1F37B399E}" name="Total" totalsRowFunction="custom" dataDxfId="69" totalsRowDxfId="68">
      <calculatedColumnFormula>December[[#This Row],[Hours 02/12]]+December[[#This Row],[Hours 09/12]]+December[[#This Row],[Hours 16/12]]+December[[#This Row],[Hours 23/12]]+December[[#This Row],[Hours 30/12]]</calculatedColumnFormula>
      <totalsRowFormula>SUM(December[Total])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December in this table. Total Weekly Hours and Total Regular Hours are calculated automatically"/>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3095901-40BC-4499-8531-5EB211F1F3D7}" name="August" displayName="August" ref="D128:J144" totalsRowCount="1" headerRowDxfId="67" dataDxfId="66" totalsRowDxfId="65" headerRowCellStyle="Heading 3">
  <autoFilter ref="D128:J143" xr:uid="{982B6D7C-A7FF-445E-842C-30D29854945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5F22CDFB-274B-4B53-A562-6AF0F4566531}" name="Task Code" totalsRowLabel="Total" dataDxfId="64" totalsRowDxfId="63" dataCellStyle="Heading 4"/>
    <tableColumn id="2" xr3:uid="{1C914B24-E1FD-4DEB-94D2-0C467CD11DE5}" name="Hours 05/08" totalsRowFunction="sum" dataDxfId="62" totalsRowDxfId="61"/>
    <tableColumn id="4" xr3:uid="{1C2BDC75-AB02-4B73-B126-C5255C550485}" name="Hours 12/08" totalsRowFunction="sum" dataDxfId="60" totalsRowDxfId="59"/>
    <tableColumn id="6" xr3:uid="{25DF1197-C8CF-4637-A7E0-5B3D8CB909A1}" name="Hours 19/08" totalsRowFunction="sum" dataDxfId="58" totalsRowDxfId="57"/>
    <tableColumn id="8" xr3:uid="{94B70225-CACF-4D68-A670-597ED29A359C}" name="Hours 26/08" totalsRowFunction="sum" dataDxfId="56" totalsRowDxfId="55"/>
    <tableColumn id="3" xr3:uid="{9D40B4D4-CBD9-4833-A903-CA7CC38A9B95}" name="Ignore" dataDxfId="54" totalsRowDxfId="53"/>
    <tableColumn id="10" xr3:uid="{56A8509B-A066-495F-9BAF-1BF87756FA8D}" name="Total" totalsRowFunction="custom" dataDxfId="52" totalsRowDxfId="51">
      <calculatedColumnFormula>August[[#This Row],[Hours 05/08]]+August[[#This Row],[Hours 12/08]]+August[[#This Row],[Hours 19/08]]+August[[#This Row],[Hours 26/08]]</calculatedColumnFormula>
      <totalsRowFormula>SUM(August[Total])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August in this table. Total Weekly Hours and Total Regular Hours are calculated automatically"/>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95C04C9-D19E-493B-B296-3AAC1C0AC7DC}" name="September" displayName="September" ref="D146:J162" totalsRowCount="1" headerRowDxfId="50" dataDxfId="49" totalsRowDxfId="48" headerRowCellStyle="Heading 3">
  <autoFilter ref="D146:J161" xr:uid="{DDD87276-8BFA-49B6-AE4F-A29DD3AF3FA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7B22214D-7DE3-40BE-87FB-76D4BD450AA9}" name="Task Code" totalsRowLabel="Total" dataDxfId="47" totalsRowDxfId="46" dataCellStyle="Heading 4"/>
    <tableColumn id="2" xr3:uid="{EFDAF7A7-16A3-4C8F-BB2F-DCBF0F411E39}" name="Hours 02/09" totalsRowFunction="sum" dataDxfId="45" totalsRowDxfId="44"/>
    <tableColumn id="4" xr3:uid="{33472FC3-F10B-43A3-A51D-D1CBB54C1991}" name="Hours 09/09" totalsRowFunction="sum" dataDxfId="43" totalsRowDxfId="42"/>
    <tableColumn id="6" xr3:uid="{99836FC3-C537-4FA8-B123-AB245031CB30}" name="Hours 16/09" totalsRowFunction="sum" dataDxfId="41" totalsRowDxfId="40"/>
    <tableColumn id="8" xr3:uid="{16C65E8B-8226-4168-BAFE-1D09C8D0E48B}" name="Hours 23/09" totalsRowFunction="sum" dataDxfId="39" totalsRowDxfId="38"/>
    <tableColumn id="12" xr3:uid="{F7F245D8-BDAC-4288-8BDF-48E8159A67EB}" name="Hours 30/09" dataDxfId="37" totalsRowDxfId="36"/>
    <tableColumn id="10" xr3:uid="{5E71039C-DE82-420C-83B4-810B416A0B1B}" name="Total" totalsRowFunction="custom" dataDxfId="35" totalsRowDxfId="34">
      <calculatedColumnFormula>September[[#This Row],[Hours 02/09]]+September[[#This Row],[Hours 09/09]]+September[[#This Row],[Hours 16/09]]+September[[#This Row],[Hours 23/09]]+September[[#This Row],[Hours 30/09]]</calculatedColumnFormula>
      <totalsRowFormula>SUM(September[Total])</totalsRowFormula>
    </tableColumn>
  </tableColumns>
  <tableStyleInfo name="TimeSheet" showFirstColumn="0" showLastColumn="0" showRowStripes="0" showColumnStripes="0"/>
  <extLst>
    <ext xmlns:x14="http://schemas.microsoft.com/office/spreadsheetml/2009/9/main" uri="{504A1905-F514-4f6f-8877-14C23A59335A}">
      <x14:table altTextSummary="Enter Regular and Overtime hours for each weekday and all weeks in the month of September in this table. Total Weekly Hours and Total Regular Hours are calculated automatically"/>
    </ext>
  </extLst>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E3337C-DB0B-4F21-ABA4-FE10F8BD2BA9}" name="February" displayName="February" ref="D20:J36" totalsRowCount="1" headerRowDxfId="33" dataDxfId="32" totalsRowDxfId="31" headerRowCellStyle="Heading 3">
  <tableColumns count="7">
    <tableColumn id="1" xr3:uid="{BDA025D1-FDC5-4A24-9409-F0CF4D29ACB9}" name="Task Code" totalsRowLabel="Total" dataDxfId="30" totalsRowDxfId="29" dataCellStyle="Heading 4"/>
    <tableColumn id="2" xr3:uid="{9EB5F873-9347-42FD-AA68-DF038E042745}" name="Hours 05/02" totalsRowFunction="custom" dataDxfId="28" totalsRowDxfId="27">
      <totalsRowFormula>SUM(E21:E35)</totalsRowFormula>
    </tableColumn>
    <tableColumn id="4" xr3:uid="{1215692D-7F04-4AE4-A448-EB041E87B697}" name="Hours 12/02" totalsRowFunction="custom" dataDxfId="26" totalsRowDxfId="25">
      <totalsRowFormula>SUM(F21:F35)</totalsRowFormula>
    </tableColumn>
    <tableColumn id="6" xr3:uid="{DAD98591-347D-4D90-9469-ADEEC635C57F}" name="Hours 19/02" totalsRowFunction="custom" dataDxfId="24" totalsRowDxfId="23">
      <totalsRowFormula>SUM(G21:G35)</totalsRowFormula>
    </tableColumn>
    <tableColumn id="8" xr3:uid="{345D4D27-669C-4E76-8C61-C2541C14CC9F}" name="Hours 26/02" totalsRowFunction="custom" dataDxfId="22" totalsRowDxfId="21">
      <totalsRowFormula>SUM(H21:H35)</totalsRowFormula>
    </tableColumn>
    <tableColumn id="3" xr3:uid="{E372CEDB-AC04-4812-9DB6-931A34851653}" name="Ignore" dataDxfId="20" totalsRowDxfId="19"/>
    <tableColumn id="10" xr3:uid="{1F65C2CA-18E4-4D10-8683-50DB3AD246BC}" name="Total" totalsRowFunction="custom" dataDxfId="18" totalsRowDxfId="17">
      <calculatedColumnFormula>February[[#This Row],[Hours 05/02]]+February[[#This Row],[Hours 12/02]]+February[[#This Row],[Hours 19/02]]+February[[#This Row],[Hours 26/02]]</calculatedColumnFormula>
      <totalsRowFormula>SUM(February[Total])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March in this table. Total Weekly Hours and Total Regular Hours are calculated automatically"/>
    </ext>
  </extLst>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5296F7-0E8F-4C87-995E-C6B893E021F3}" name="Summary" displayName="Summary" ref="A2:B7" totalsRowShown="0">
  <autoFilter ref="A2:B7" xr:uid="{A85296F7-0E8F-4C87-995E-C6B893E021F3}"/>
  <tableColumns count="2">
    <tableColumn id="1" xr3:uid="{0AE166C6-FC07-4AC2-A87D-660498A03686}" name="Task Code"/>
    <tableColumn id="2" xr3:uid="{880CBA63-E1BE-44DE-93D5-2362FE3D1719}" name="Total Hours"/>
  </tableColumns>
  <tableStyleInfo name="TimeSheet"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DDC868E-F2A3-440A-AF43-0A28BB8DAC05}" name="Q1_Summary" displayName="Q1_Summary" ref="H2:I7" totalsRowShown="0">
  <autoFilter ref="H2:I7" xr:uid="{2DDC868E-F2A3-440A-AF43-0A28BB8DAC05}"/>
  <tableColumns count="2">
    <tableColumn id="1" xr3:uid="{59A8F533-588B-44A9-8FE9-1F806C1B45B2}" name="Task Code"/>
    <tableColumn id="2" xr3:uid="{F21B3685-8CD0-48C6-BA0B-0704B897C53B}" name="Total Hours"/>
  </tableColumns>
  <tableStyleInfo name="TimeSheet"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407F743-C386-45BC-B212-5A59904B14BC}" name="Q2_Summary" displayName="Q2_Summary" ref="O2:P3" insertRow="1" totalsRowShown="0">
  <autoFilter ref="O2:P3" xr:uid="{5407F743-C386-45BC-B212-5A59904B14BC}"/>
  <tableColumns count="2">
    <tableColumn id="1" xr3:uid="{2F3F71B2-0CFD-4A8E-AA20-470182AD07A3}" name="Task Code"/>
    <tableColumn id="2" xr3:uid="{E60D336C-052E-43AE-9131-5C35450F3BC0}" name="Total Hours"/>
  </tableColumns>
  <tableStyleInfo name="TimeSheet"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6FE9F4D-755F-46AB-A50A-7F5D9BDFBED1}" name="Q3_Summary" displayName="Q3_Summary" ref="V2:W3" insertRow="1" totalsRowShown="0">
  <autoFilter ref="V2:W3" xr:uid="{F6FE9F4D-755F-46AB-A50A-7F5D9BDFBED1}"/>
  <tableColumns count="2">
    <tableColumn id="1" xr3:uid="{0FE35CEA-939E-4193-A106-46277D42DB5A}" name="Task Code"/>
    <tableColumn id="2" xr3:uid="{37F36404-7A67-4324-B8A0-3A2232EF788A}" name="Total Hours"/>
  </tableColumns>
  <tableStyleInfo name="TimeSheet"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DAF0BD-3EB7-4976-8D51-A798C47DD398}" name="Q4_Summary" displayName="Q4_Summary" ref="AC2:AD3" insertRow="1" totalsRowShown="0">
  <autoFilter ref="AC2:AD3" xr:uid="{7CDAF0BD-3EB7-4976-8D51-A798C47DD398}"/>
  <tableColumns count="2">
    <tableColumn id="1" xr3:uid="{7D000FA4-638B-4B04-B657-855774D56568}" name="Task Code"/>
    <tableColumn id="2" xr3:uid="{8EC9BAA6-4BB3-41A9-91FA-A915AC3BCF74}" name="Total Hours"/>
  </tableColumns>
  <tableStyleInfo name="TimeSheet"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7A0A44B-16D5-464F-8CA5-F5FCF09A2AE3}" name="DayToDayTracking" displayName="DayToDayTracking" ref="A1:G17" totalsRowCount="1" headerRowDxfId="16" dataDxfId="15" totalsRowDxfId="14" headerRowCellStyle="Heading 3">
  <autoFilter ref="A1:G16" xr:uid="{07A0A44B-16D5-464F-8CA5-F5FCF09A2AE3}"/>
  <tableColumns count="7">
    <tableColumn id="1" xr3:uid="{3167ED8E-1999-47AB-8432-542CA0F7EE5B}" name="Task" totalsRowLabel="Total" dataDxfId="13" totalsRowDxfId="12" dataCellStyle="Table column 1"/>
    <tableColumn id="2" xr3:uid="{272A7B3A-DA05-4463-9D0D-7431C4A3C5EF}" name="Mon" totalsRowFunction="custom" dataDxfId="11" totalsRowDxfId="10" dataCellStyle="Comma">
      <totalsRowFormula>SUM(B2:B16)</totalsRowFormula>
    </tableColumn>
    <tableColumn id="4" xr3:uid="{3C8E815D-89B0-4C11-922E-22A55B00B27D}" name="Tues" totalsRowFunction="custom" dataDxfId="9" totalsRowDxfId="8" dataCellStyle="Comma">
      <totalsRowFormula>SUM(C2:C16)</totalsRowFormula>
    </tableColumn>
    <tableColumn id="6" xr3:uid="{7BB5F0EC-7680-4613-92C5-FBA025F21C05}" name="Wed" totalsRowFunction="custom" dataDxfId="7" totalsRowDxfId="6" dataCellStyle="Comma">
      <totalsRowFormula>SUM(D2:D16)</totalsRowFormula>
    </tableColumn>
    <tableColumn id="8" xr3:uid="{85AD5FB6-0F60-40D2-A4D6-B8A82B9DC85C}" name="Thurs" totalsRowFunction="custom" dataDxfId="5" totalsRowDxfId="4" dataCellStyle="Comma">
      <totalsRowFormula>SUM(E2:E16)</totalsRowFormula>
    </tableColumn>
    <tableColumn id="10" xr3:uid="{0995AC54-03CB-4CB5-AF95-69A0FDCDF3C1}" name="Fri" totalsRowFunction="custom" dataDxfId="3" totalsRowDxfId="2" dataCellStyle="Comma">
      <totalsRowFormula>SUM(F2:F16)</totalsRowFormula>
    </tableColumn>
    <tableColumn id="12" xr3:uid="{A1CC3F88-709B-49C6-B69E-1F9EC7354F38}" name="Total" totalsRowFunction="custom" dataDxfId="1" totalsRowDxfId="0" dataCellStyle="Comma">
      <calculatedColumnFormula>DayToDayTracking[[#This Row],[Mon]]+DayToDayTracking[[#This Row],[Tues]]+DayToDayTracking[[#This Row],[Wed]]+DayToDayTracking[[#This Row],[Thurs]]+DayToDayTracking[[#This Row],[Fri]]</calculatedColumnFormula>
      <totalsRowFormula>SUM(DayToDayTracking[Total])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January in this table. Total Weekly Hours and Total Regular Hours are calculated automatically"/>
    </ext>
  </extLst>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table" Target="../tables/table18.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499984740745262"/>
    <pageSetUpPr autoPageBreaks="0" fitToPage="1"/>
  </sheetPr>
  <dimension ref="A1:R216"/>
  <sheetViews>
    <sheetView showGridLines="0" tabSelected="1" zoomScaleNormal="100" workbookViewId="0">
      <selection activeCell="I5" sqref="I5"/>
    </sheetView>
  </sheetViews>
  <sheetFormatPr defaultColWidth="8.796875" defaultRowHeight="12.5" x14ac:dyDescent="0.25"/>
  <cols>
    <col min="1" max="1" width="20.796875" style="21" customWidth="1"/>
    <col min="2" max="2" width="23.19921875" style="21" bestFit="1" customWidth="1"/>
    <col min="3" max="3" width="2.59765625" style="21" customWidth="1"/>
    <col min="4" max="5" width="14.69921875" style="21" customWidth="1"/>
    <col min="6" max="10" width="14.69921875" style="31" customWidth="1"/>
    <col min="11" max="11" width="12.59765625" style="31" customWidth="1"/>
    <col min="12" max="12" width="21.59765625" style="31" customWidth="1"/>
    <col min="13" max="13" width="12.59765625" style="31" customWidth="1"/>
    <col min="14" max="14" width="21.59765625" style="31" customWidth="1"/>
    <col min="15" max="15" width="15.69921875" style="22" bestFit="1" customWidth="1"/>
    <col min="16" max="16" width="8.796875" style="50"/>
    <col min="17" max="16384" width="8.796875" style="22"/>
  </cols>
  <sheetData>
    <row r="1" spans="1:15" ht="100" customHeight="1" thickBot="1" x14ac:dyDescent="0.75">
      <c r="A1" s="58" t="s">
        <v>0</v>
      </c>
      <c r="B1" s="59"/>
      <c r="C1" s="18"/>
      <c r="D1" s="11" t="s">
        <v>17</v>
      </c>
      <c r="E1" s="19"/>
      <c r="F1" s="19"/>
      <c r="G1" s="19"/>
      <c r="H1" s="19"/>
      <c r="I1" s="20"/>
      <c r="J1" s="19"/>
      <c r="K1" s="19"/>
      <c r="L1" s="19"/>
      <c r="M1" s="19"/>
      <c r="N1" s="19"/>
      <c r="O1" s="56"/>
    </row>
    <row r="2" spans="1:15" x14ac:dyDescent="0.25">
      <c r="A2" s="1" t="s">
        <v>1</v>
      </c>
      <c r="B2" s="10"/>
      <c r="C2" s="23"/>
      <c r="D2" s="12" t="s">
        <v>23</v>
      </c>
      <c r="E2" s="13" t="s">
        <v>69</v>
      </c>
      <c r="F2" s="13" t="s">
        <v>70</v>
      </c>
      <c r="G2" s="13" t="s">
        <v>71</v>
      </c>
      <c r="H2" s="13" t="s">
        <v>72</v>
      </c>
      <c r="I2" s="13" t="s">
        <v>73</v>
      </c>
      <c r="J2" s="14" t="s">
        <v>5</v>
      </c>
      <c r="K2" s="21"/>
      <c r="L2" s="21"/>
      <c r="M2" s="21"/>
      <c r="N2" s="21"/>
    </row>
    <row r="3" spans="1:15" x14ac:dyDescent="0.25">
      <c r="A3" s="2" t="s">
        <v>2</v>
      </c>
      <c r="B3" s="7"/>
      <c r="C3" s="24"/>
      <c r="D3" s="3" t="s">
        <v>36</v>
      </c>
      <c r="E3" s="4">
        <v>39</v>
      </c>
      <c r="F3" s="4">
        <v>39</v>
      </c>
      <c r="G3" s="4">
        <v>39</v>
      </c>
      <c r="H3" s="4">
        <v>39</v>
      </c>
      <c r="I3" s="4">
        <v>39</v>
      </c>
      <c r="J3" s="4">
        <f>January[[#This Row],[Hours 01/01]]+January[[#This Row],[Hours 08/01]]+January[[#This Row],[Hours 15/01]]+January[[#This Row],[Hours 22/01]]+January[[#This Row],[Hours 29/01]]</f>
        <v>195</v>
      </c>
      <c r="K3" s="21"/>
      <c r="L3" s="21"/>
      <c r="M3" s="21"/>
      <c r="N3" s="21"/>
    </row>
    <row r="4" spans="1:15" x14ac:dyDescent="0.25">
      <c r="A4" s="2" t="s">
        <v>3</v>
      </c>
      <c r="B4" s="8"/>
      <c r="C4" s="24"/>
      <c r="D4" s="49"/>
      <c r="E4" s="4"/>
      <c r="F4" s="4"/>
      <c r="G4" s="4"/>
      <c r="H4" s="4"/>
      <c r="I4" s="4"/>
      <c r="J4" s="4">
        <f>January[[#This Row],[Hours 01/01]]+January[[#This Row],[Hours 08/01]]+January[[#This Row],[Hours 15/01]]+January[[#This Row],[Hours 22/01]]+January[[#This Row],[Hours 29/01]]</f>
        <v>0</v>
      </c>
      <c r="K4" s="21"/>
      <c r="L4" s="21"/>
      <c r="M4" s="21"/>
      <c r="N4" s="21"/>
    </row>
    <row r="5" spans="1:15" x14ac:dyDescent="0.25">
      <c r="A5" s="2" t="s">
        <v>4</v>
      </c>
      <c r="B5" s="9"/>
      <c r="D5" s="49"/>
      <c r="E5" s="5"/>
      <c r="F5" s="4"/>
      <c r="G5" s="4"/>
      <c r="H5" s="4"/>
      <c r="I5" s="4"/>
      <c r="J5" s="4">
        <f>January[[#This Row],[Hours 01/01]]+January[[#This Row],[Hours 08/01]]+January[[#This Row],[Hours 15/01]]+January[[#This Row],[Hours 22/01]]+January[[#This Row],[Hours 29/01]]</f>
        <v>0</v>
      </c>
      <c r="K5" s="21"/>
      <c r="L5" s="21"/>
      <c r="M5" s="21"/>
      <c r="N5" s="21"/>
    </row>
    <row r="6" spans="1:15" x14ac:dyDescent="0.25">
      <c r="B6" s="25"/>
      <c r="D6" s="3"/>
      <c r="E6" s="5"/>
      <c r="F6" s="4"/>
      <c r="G6" s="4"/>
      <c r="H6" s="4"/>
      <c r="I6" s="4"/>
      <c r="J6" s="4">
        <f>January[[#This Row],[Hours 01/01]]+January[[#This Row],[Hours 08/01]]+January[[#This Row],[Hours 15/01]]+January[[#This Row],[Hours 22/01]]+January[[#This Row],[Hours 29/01]]</f>
        <v>0</v>
      </c>
      <c r="K6" s="21"/>
      <c r="L6" s="21"/>
      <c r="M6" s="21"/>
      <c r="N6" s="21"/>
    </row>
    <row r="7" spans="1:15" x14ac:dyDescent="0.25">
      <c r="A7" s="26"/>
      <c r="D7" s="3"/>
      <c r="E7" s="5"/>
      <c r="F7" s="4"/>
      <c r="G7" s="4"/>
      <c r="H7" s="4"/>
      <c r="I7" s="4"/>
      <c r="J7" s="4">
        <f>January[[#This Row],[Hours 01/01]]+January[[#This Row],[Hours 08/01]]+January[[#This Row],[Hours 15/01]]+January[[#This Row],[Hours 22/01]]+January[[#This Row],[Hours 29/01]]</f>
        <v>0</v>
      </c>
      <c r="K7" s="21"/>
      <c r="L7" s="21"/>
      <c r="M7" s="21"/>
      <c r="N7" s="21"/>
    </row>
    <row r="8" spans="1:15" x14ac:dyDescent="0.25">
      <c r="D8" s="3"/>
      <c r="E8" s="5"/>
      <c r="F8" s="4"/>
      <c r="G8" s="4"/>
      <c r="H8" s="4"/>
      <c r="I8" s="4"/>
      <c r="J8" s="4">
        <f>January[[#This Row],[Hours 01/01]]+January[[#This Row],[Hours 08/01]]+January[[#This Row],[Hours 15/01]]+January[[#This Row],[Hours 22/01]]+January[[#This Row],[Hours 29/01]]</f>
        <v>0</v>
      </c>
      <c r="K8" s="21"/>
      <c r="L8" s="21"/>
      <c r="M8" s="21"/>
      <c r="N8" s="21"/>
    </row>
    <row r="9" spans="1:15" x14ac:dyDescent="0.25">
      <c r="A9" s="27"/>
      <c r="B9" s="28"/>
      <c r="C9" s="29"/>
      <c r="D9" s="3"/>
      <c r="E9" s="5"/>
      <c r="F9" s="4"/>
      <c r="G9" s="4"/>
      <c r="H9" s="4"/>
      <c r="I9" s="4"/>
      <c r="J9" s="4">
        <f>January[[#This Row],[Hours 01/01]]+January[[#This Row],[Hours 08/01]]+January[[#This Row],[Hours 15/01]]+January[[#This Row],[Hours 22/01]]+January[[#This Row],[Hours 29/01]]</f>
        <v>0</v>
      </c>
      <c r="K9" s="21"/>
      <c r="L9" s="21"/>
      <c r="M9" s="21"/>
      <c r="N9" s="21"/>
    </row>
    <row r="10" spans="1:15" x14ac:dyDescent="0.25">
      <c r="A10" s="26"/>
      <c r="B10" s="28"/>
      <c r="C10" s="29"/>
      <c r="D10" s="3"/>
      <c r="E10" s="5"/>
      <c r="F10" s="4"/>
      <c r="G10" s="4"/>
      <c r="H10" s="4"/>
      <c r="I10" s="4"/>
      <c r="J10" s="4">
        <f>January[[#This Row],[Hours 01/01]]+January[[#This Row],[Hours 08/01]]+January[[#This Row],[Hours 15/01]]+January[[#This Row],[Hours 22/01]]+January[[#This Row],[Hours 29/01]]</f>
        <v>0</v>
      </c>
      <c r="K10" s="21"/>
      <c r="L10" s="21"/>
      <c r="M10" s="21"/>
      <c r="N10" s="21"/>
    </row>
    <row r="11" spans="1:15" x14ac:dyDescent="0.25">
      <c r="A11" s="30"/>
      <c r="D11" s="3"/>
      <c r="E11" s="5"/>
      <c r="F11" s="4"/>
      <c r="G11" s="4"/>
      <c r="H11" s="4"/>
      <c r="I11" s="4"/>
      <c r="J11" s="4">
        <f>January[[#This Row],[Hours 01/01]]+January[[#This Row],[Hours 08/01]]+January[[#This Row],[Hours 15/01]]+January[[#This Row],[Hours 22/01]]+January[[#This Row],[Hours 29/01]]</f>
        <v>0</v>
      </c>
      <c r="K11" s="21"/>
      <c r="L11" s="21"/>
      <c r="M11" s="21"/>
      <c r="N11" s="21"/>
    </row>
    <row r="12" spans="1:15" x14ac:dyDescent="0.25">
      <c r="A12" s="32"/>
      <c r="D12" s="3"/>
      <c r="E12" s="5"/>
      <c r="F12" s="4"/>
      <c r="G12" s="4"/>
      <c r="H12" s="4"/>
      <c r="I12" s="4"/>
      <c r="J12" s="4">
        <f>January[[#This Row],[Hours 01/01]]+January[[#This Row],[Hours 08/01]]+January[[#This Row],[Hours 15/01]]+January[[#This Row],[Hours 22/01]]+January[[#This Row],[Hours 29/01]]</f>
        <v>0</v>
      </c>
      <c r="K12" s="21"/>
      <c r="L12" s="21"/>
      <c r="M12" s="21"/>
      <c r="N12" s="21"/>
    </row>
    <row r="13" spans="1:15" x14ac:dyDescent="0.25">
      <c r="D13" s="3"/>
      <c r="E13" s="5"/>
      <c r="F13" s="4"/>
      <c r="G13" s="4"/>
      <c r="H13" s="4"/>
      <c r="I13" s="4"/>
      <c r="J13" s="4">
        <f>January[[#This Row],[Hours 01/01]]+January[[#This Row],[Hours 08/01]]+January[[#This Row],[Hours 15/01]]+January[[#This Row],[Hours 22/01]]+January[[#This Row],[Hours 29/01]]</f>
        <v>0</v>
      </c>
      <c r="K13" s="21"/>
      <c r="L13" s="21"/>
      <c r="M13" s="21"/>
      <c r="N13" s="21"/>
    </row>
    <row r="14" spans="1:15" x14ac:dyDescent="0.25">
      <c r="A14" s="32"/>
      <c r="C14" s="29"/>
      <c r="D14" s="3"/>
      <c r="E14" s="5"/>
      <c r="F14" s="4"/>
      <c r="G14" s="4"/>
      <c r="H14" s="4"/>
      <c r="I14" s="4"/>
      <c r="J14" s="4">
        <f>January[[#This Row],[Hours 01/01]]+January[[#This Row],[Hours 08/01]]+January[[#This Row],[Hours 15/01]]+January[[#This Row],[Hours 22/01]]+January[[#This Row],[Hours 29/01]]</f>
        <v>0</v>
      </c>
      <c r="K14" s="21"/>
      <c r="L14" s="21"/>
      <c r="M14" s="21"/>
      <c r="N14" s="21"/>
    </row>
    <row r="15" spans="1:15" x14ac:dyDescent="0.25">
      <c r="A15" s="32"/>
      <c r="D15" s="3"/>
      <c r="E15" s="5"/>
      <c r="F15" s="4"/>
      <c r="G15" s="4"/>
      <c r="H15" s="4"/>
      <c r="I15" s="4"/>
      <c r="J15" s="4">
        <f>January[[#This Row],[Hours 01/01]]+January[[#This Row],[Hours 08/01]]+January[[#This Row],[Hours 15/01]]+January[[#This Row],[Hours 22/01]]+January[[#This Row],[Hours 29/01]]</f>
        <v>0</v>
      </c>
      <c r="K15" s="21"/>
      <c r="L15" s="21"/>
      <c r="M15" s="21"/>
      <c r="N15" s="21"/>
    </row>
    <row r="16" spans="1:15" x14ac:dyDescent="0.25">
      <c r="D16" s="3"/>
      <c r="E16" s="5"/>
      <c r="F16" s="4"/>
      <c r="G16" s="4"/>
      <c r="H16" s="4"/>
      <c r="I16" s="4"/>
      <c r="J16" s="4">
        <f>January[[#This Row],[Hours 01/01]]+January[[#This Row],[Hours 08/01]]+January[[#This Row],[Hours 15/01]]+January[[#This Row],[Hours 22/01]]+January[[#This Row],[Hours 29/01]]</f>
        <v>0</v>
      </c>
      <c r="K16" s="21"/>
      <c r="L16" s="21"/>
      <c r="M16" s="21"/>
      <c r="N16" s="21"/>
    </row>
    <row r="17" spans="4:17" x14ac:dyDescent="0.25">
      <c r="D17" s="3"/>
      <c r="E17" s="5"/>
      <c r="F17" s="4"/>
      <c r="G17" s="4"/>
      <c r="H17" s="4"/>
      <c r="I17" s="4"/>
      <c r="J17" s="4">
        <f>January[[#This Row],[Hours 01/01]]+January[[#This Row],[Hours 08/01]]+January[[#This Row],[Hours 15/01]]+January[[#This Row],[Hours 22/01]]+January[[#This Row],[Hours 29/01]]</f>
        <v>0</v>
      </c>
      <c r="K17" s="21"/>
      <c r="L17" s="21"/>
      <c r="M17" s="21"/>
      <c r="N17" s="21"/>
    </row>
    <row r="18" spans="4:17" x14ac:dyDescent="0.25">
      <c r="D18" s="15" t="s">
        <v>5</v>
      </c>
      <c r="E18" s="16">
        <f>SUM(E3:E17)</f>
        <v>39</v>
      </c>
      <c r="F18" s="6">
        <f>SUM(F3:F17)</f>
        <v>39</v>
      </c>
      <c r="G18" s="6">
        <f>SUM(G3:G17)</f>
        <v>39</v>
      </c>
      <c r="H18" s="6">
        <f>SUM(H3:H17)</f>
        <v>39</v>
      </c>
      <c r="I18" s="6">
        <f>SUM(I3:I17)</f>
        <v>39</v>
      </c>
      <c r="J18" s="6">
        <f>SUM(January[Total])</f>
        <v>195</v>
      </c>
      <c r="K18" s="21"/>
      <c r="L18" s="21"/>
      <c r="M18" s="21"/>
      <c r="N18" s="21"/>
    </row>
    <row r="19" spans="4:17" ht="15.5" x14ac:dyDescent="0.35">
      <c r="D19" s="17" t="s">
        <v>6</v>
      </c>
    </row>
    <row r="20" spans="4:17" x14ac:dyDescent="0.25">
      <c r="D20" s="12" t="s">
        <v>23</v>
      </c>
      <c r="E20" s="13" t="s">
        <v>74</v>
      </c>
      <c r="F20" s="13" t="s">
        <v>75</v>
      </c>
      <c r="G20" s="13" t="s">
        <v>76</v>
      </c>
      <c r="H20" s="13" t="s">
        <v>77</v>
      </c>
      <c r="I20" s="13" t="s">
        <v>125</v>
      </c>
      <c r="J20" s="14" t="s">
        <v>5</v>
      </c>
      <c r="K20" s="21"/>
      <c r="L20" s="21"/>
      <c r="M20" s="21"/>
      <c r="N20" s="21"/>
      <c r="Q20" s="50"/>
    </row>
    <row r="21" spans="4:17" x14ac:dyDescent="0.25">
      <c r="D21" s="35" t="s">
        <v>36</v>
      </c>
      <c r="E21" s="38">
        <v>39</v>
      </c>
      <c r="F21" s="36">
        <v>33</v>
      </c>
      <c r="G21" s="36">
        <v>39</v>
      </c>
      <c r="H21" s="36">
        <v>28</v>
      </c>
      <c r="I21" s="36"/>
      <c r="J21" s="36">
        <f>February[[#This Row],[Hours 05/02]]+February[[#This Row],[Hours 12/02]]+February[[#This Row],[Hours 19/02]]+February[[#This Row],[Hours 26/02]]</f>
        <v>139</v>
      </c>
      <c r="K21" s="21"/>
      <c r="L21" s="21"/>
      <c r="M21" s="21"/>
      <c r="N21" s="21"/>
      <c r="Q21" s="50"/>
    </row>
    <row r="22" spans="4:17" x14ac:dyDescent="0.25">
      <c r="D22" s="46" t="s">
        <v>61</v>
      </c>
      <c r="E22" s="47"/>
      <c r="F22" s="40">
        <v>6</v>
      </c>
      <c r="G22" s="40"/>
      <c r="H22" s="40"/>
      <c r="I22" s="40"/>
      <c r="J22" s="40">
        <f>February[[#This Row],[Hours 05/02]]+February[[#This Row],[Hours 12/02]]+February[[#This Row],[Hours 19/02]]+February[[#This Row],[Hours 26/02]]</f>
        <v>6</v>
      </c>
      <c r="K22" s="21"/>
      <c r="L22" s="21"/>
      <c r="M22" s="21"/>
      <c r="N22" s="21"/>
      <c r="Q22" s="50"/>
    </row>
    <row r="23" spans="4:17" x14ac:dyDescent="0.25">
      <c r="D23" s="35" t="s">
        <v>123</v>
      </c>
      <c r="E23" s="38"/>
      <c r="F23" s="36"/>
      <c r="G23" s="36"/>
      <c r="H23" s="36">
        <v>10</v>
      </c>
      <c r="I23" s="36"/>
      <c r="J23" s="36">
        <f>February[[#This Row],[Hours 05/02]]+February[[#This Row],[Hours 12/02]]+February[[#This Row],[Hours 19/02]]+February[[#This Row],[Hours 26/02]]</f>
        <v>10</v>
      </c>
      <c r="K23" s="21"/>
      <c r="L23" s="21"/>
      <c r="M23" s="21"/>
      <c r="N23" s="21"/>
      <c r="Q23" s="50"/>
    </row>
    <row r="24" spans="4:17" x14ac:dyDescent="0.25">
      <c r="D24" s="46" t="s">
        <v>45</v>
      </c>
      <c r="E24" s="47"/>
      <c r="F24" s="40"/>
      <c r="G24" s="40"/>
      <c r="H24" s="40">
        <v>1</v>
      </c>
      <c r="I24" s="40"/>
      <c r="J24" s="40">
        <f>February[[#This Row],[Hours 05/02]]+February[[#This Row],[Hours 12/02]]+February[[#This Row],[Hours 19/02]]+February[[#This Row],[Hours 26/02]]</f>
        <v>1</v>
      </c>
      <c r="K24" s="21"/>
      <c r="L24" s="21"/>
      <c r="M24" s="21"/>
      <c r="N24" s="21"/>
      <c r="Q24" s="50"/>
    </row>
    <row r="25" spans="4:17" x14ac:dyDescent="0.25">
      <c r="D25" s="35"/>
      <c r="E25" s="38"/>
      <c r="F25" s="36"/>
      <c r="G25" s="36"/>
      <c r="H25" s="36"/>
      <c r="I25" s="36"/>
      <c r="J25" s="36">
        <f>February[[#This Row],[Hours 05/02]]+February[[#This Row],[Hours 12/02]]+February[[#This Row],[Hours 19/02]]+February[[#This Row],[Hours 26/02]]</f>
        <v>0</v>
      </c>
      <c r="K25" s="21"/>
      <c r="L25" s="21"/>
      <c r="M25" s="21"/>
      <c r="N25" s="21"/>
      <c r="Q25" s="50"/>
    </row>
    <row r="26" spans="4:17" x14ac:dyDescent="0.25">
      <c r="D26" s="46"/>
      <c r="E26" s="47"/>
      <c r="F26" s="40"/>
      <c r="G26" s="40"/>
      <c r="H26" s="40"/>
      <c r="I26" s="40"/>
      <c r="J26" s="40">
        <f>February[[#This Row],[Hours 05/02]]+February[[#This Row],[Hours 12/02]]+February[[#This Row],[Hours 19/02]]+February[[#This Row],[Hours 26/02]]</f>
        <v>0</v>
      </c>
      <c r="K26" s="21"/>
      <c r="L26" s="21"/>
      <c r="M26" s="21"/>
      <c r="N26" s="21"/>
      <c r="Q26" s="50"/>
    </row>
    <row r="27" spans="4:17" x14ac:dyDescent="0.25">
      <c r="D27" s="35"/>
      <c r="E27" s="38"/>
      <c r="F27" s="36"/>
      <c r="G27" s="36"/>
      <c r="H27" s="36"/>
      <c r="I27" s="36"/>
      <c r="J27" s="36">
        <f>February[[#This Row],[Hours 05/02]]+February[[#This Row],[Hours 12/02]]+February[[#This Row],[Hours 19/02]]+February[[#This Row],[Hours 26/02]]</f>
        <v>0</v>
      </c>
      <c r="K27" s="21"/>
      <c r="L27" s="21"/>
      <c r="M27" s="21"/>
      <c r="N27" s="21"/>
      <c r="Q27" s="50"/>
    </row>
    <row r="28" spans="4:17" x14ac:dyDescent="0.25">
      <c r="D28" s="46"/>
      <c r="E28" s="47"/>
      <c r="F28" s="40"/>
      <c r="G28" s="40"/>
      <c r="H28" s="40"/>
      <c r="I28" s="40"/>
      <c r="J28" s="40">
        <f>February[[#This Row],[Hours 05/02]]+February[[#This Row],[Hours 12/02]]+February[[#This Row],[Hours 19/02]]+February[[#This Row],[Hours 26/02]]</f>
        <v>0</v>
      </c>
      <c r="K28" s="21"/>
      <c r="L28" s="21"/>
      <c r="M28" s="21"/>
      <c r="N28" s="21"/>
      <c r="Q28" s="50"/>
    </row>
    <row r="29" spans="4:17" x14ac:dyDescent="0.25">
      <c r="D29" s="35"/>
      <c r="E29" s="38"/>
      <c r="F29" s="36"/>
      <c r="G29" s="36"/>
      <c r="H29" s="36"/>
      <c r="I29" s="36"/>
      <c r="J29" s="36">
        <f>February[[#This Row],[Hours 05/02]]+February[[#This Row],[Hours 12/02]]+February[[#This Row],[Hours 19/02]]+February[[#This Row],[Hours 26/02]]</f>
        <v>0</v>
      </c>
      <c r="K29" s="21"/>
      <c r="L29" s="21"/>
      <c r="M29" s="21"/>
      <c r="N29" s="21"/>
      <c r="Q29" s="50"/>
    </row>
    <row r="30" spans="4:17" x14ac:dyDescent="0.25">
      <c r="D30" s="37"/>
      <c r="E30" s="16"/>
      <c r="F30" s="6"/>
      <c r="G30" s="6"/>
      <c r="H30" s="6"/>
      <c r="I30" s="6"/>
      <c r="J30" s="40">
        <f>February[[#This Row],[Hours 05/02]]+February[[#This Row],[Hours 12/02]]+February[[#This Row],[Hours 19/02]]+February[[#This Row],[Hours 26/02]]</f>
        <v>0</v>
      </c>
      <c r="K30" s="21"/>
      <c r="L30" s="21"/>
      <c r="M30" s="21"/>
      <c r="N30" s="21"/>
      <c r="Q30" s="50"/>
    </row>
    <row r="31" spans="4:17" x14ac:dyDescent="0.25">
      <c r="D31" s="35"/>
      <c r="E31" s="38"/>
      <c r="F31" s="36"/>
      <c r="G31" s="36"/>
      <c r="H31" s="36"/>
      <c r="I31" s="36"/>
      <c r="J31" s="36">
        <f>February[[#This Row],[Hours 05/02]]+February[[#This Row],[Hours 12/02]]+February[[#This Row],[Hours 19/02]]+February[[#This Row],[Hours 26/02]]</f>
        <v>0</v>
      </c>
      <c r="K31" s="21"/>
      <c r="L31" s="21"/>
      <c r="M31" s="21"/>
      <c r="N31" s="21"/>
      <c r="Q31" s="50"/>
    </row>
    <row r="32" spans="4:17" x14ac:dyDescent="0.25">
      <c r="D32" s="37"/>
      <c r="E32" s="16"/>
      <c r="F32" s="6"/>
      <c r="G32" s="6"/>
      <c r="H32" s="6"/>
      <c r="I32" s="6"/>
      <c r="J32" s="40">
        <f>February[[#This Row],[Hours 05/02]]+February[[#This Row],[Hours 12/02]]+February[[#This Row],[Hours 19/02]]+February[[#This Row],[Hours 26/02]]</f>
        <v>0</v>
      </c>
      <c r="K32" s="21"/>
      <c r="L32" s="21"/>
      <c r="M32" s="21"/>
      <c r="N32" s="21"/>
      <c r="Q32" s="50"/>
    </row>
    <row r="33" spans="4:17" x14ac:dyDescent="0.25">
      <c r="D33" s="35"/>
      <c r="E33" s="38"/>
      <c r="F33" s="36"/>
      <c r="G33" s="36"/>
      <c r="H33" s="36"/>
      <c r="I33" s="36"/>
      <c r="J33" s="36">
        <f>February[[#This Row],[Hours 05/02]]+February[[#This Row],[Hours 12/02]]+February[[#This Row],[Hours 19/02]]+February[[#This Row],[Hours 26/02]]</f>
        <v>0</v>
      </c>
      <c r="K33" s="21"/>
      <c r="L33" s="21"/>
      <c r="M33" s="21"/>
      <c r="N33" s="21"/>
      <c r="Q33" s="50"/>
    </row>
    <row r="34" spans="4:17" x14ac:dyDescent="0.25">
      <c r="D34" s="37"/>
      <c r="E34" s="16"/>
      <c r="F34" s="6"/>
      <c r="G34" s="6"/>
      <c r="H34" s="6"/>
      <c r="I34" s="6"/>
      <c r="J34" s="40">
        <f>February[[#This Row],[Hours 05/02]]+February[[#This Row],[Hours 12/02]]+February[[#This Row],[Hours 19/02]]+February[[#This Row],[Hours 26/02]]</f>
        <v>0</v>
      </c>
      <c r="K34" s="21"/>
      <c r="L34" s="21"/>
      <c r="M34" s="21"/>
      <c r="N34" s="21"/>
      <c r="Q34" s="50"/>
    </row>
    <row r="35" spans="4:17" x14ac:dyDescent="0.25">
      <c r="D35" s="35"/>
      <c r="E35" s="38"/>
      <c r="F35" s="36"/>
      <c r="G35" s="36"/>
      <c r="H35" s="36"/>
      <c r="I35" s="36"/>
      <c r="J35" s="36">
        <f>February[[#This Row],[Hours 05/02]]+February[[#This Row],[Hours 12/02]]+February[[#This Row],[Hours 19/02]]+February[[#This Row],[Hours 26/02]]</f>
        <v>0</v>
      </c>
      <c r="K35" s="21"/>
      <c r="L35" s="21"/>
      <c r="M35" s="21"/>
      <c r="N35" s="21"/>
      <c r="Q35" s="50"/>
    </row>
    <row r="36" spans="4:17" x14ac:dyDescent="0.25">
      <c r="D36" s="15" t="s">
        <v>5</v>
      </c>
      <c r="E36" s="16">
        <f>SUM(E21:E35)</f>
        <v>39</v>
      </c>
      <c r="F36" s="6">
        <f>SUM(F21:F35)</f>
        <v>39</v>
      </c>
      <c r="G36" s="6">
        <f>SUM(G21:G35)</f>
        <v>39</v>
      </c>
      <c r="H36" s="6">
        <f>SUM(H21:H35)</f>
        <v>39</v>
      </c>
      <c r="I36" s="6"/>
      <c r="J36" s="42">
        <f>SUM(February[Total])</f>
        <v>156</v>
      </c>
      <c r="K36" s="21"/>
      <c r="L36" s="21"/>
      <c r="M36" s="21"/>
      <c r="N36" s="21"/>
      <c r="Q36" s="50"/>
    </row>
    <row r="37" spans="4:17" ht="15.5" x14ac:dyDescent="0.35">
      <c r="D37" s="17" t="s">
        <v>7</v>
      </c>
    </row>
    <row r="38" spans="4:17" x14ac:dyDescent="0.25">
      <c r="D38" s="12" t="s">
        <v>23</v>
      </c>
      <c r="E38" s="13" t="s">
        <v>78</v>
      </c>
      <c r="F38" s="13" t="s">
        <v>79</v>
      </c>
      <c r="G38" s="13" t="s">
        <v>80</v>
      </c>
      <c r="H38" s="13" t="s">
        <v>81</v>
      </c>
      <c r="I38" s="13" t="s">
        <v>125</v>
      </c>
      <c r="J38" s="14" t="s">
        <v>5</v>
      </c>
      <c r="K38" s="21"/>
      <c r="L38" s="21"/>
      <c r="M38" s="21"/>
      <c r="N38" s="21"/>
      <c r="Q38" s="50"/>
    </row>
    <row r="39" spans="4:17" x14ac:dyDescent="0.25">
      <c r="D39" s="35" t="s">
        <v>123</v>
      </c>
      <c r="E39" s="38">
        <v>31</v>
      </c>
      <c r="F39" s="36"/>
      <c r="G39" s="36"/>
      <c r="H39" s="36"/>
      <c r="I39" s="36"/>
      <c r="J39" s="36">
        <f>March[[#This Row],[Hours 04/03]]+March[[#This Row],[Hours 11/03]]+March[[#This Row],[Hours 18/03]]+March[[#This Row],[Hours 25/03]]</f>
        <v>31</v>
      </c>
      <c r="K39" s="21"/>
      <c r="L39" s="21"/>
      <c r="M39" s="21"/>
      <c r="N39" s="21"/>
      <c r="Q39" s="50"/>
    </row>
    <row r="40" spans="4:17" x14ac:dyDescent="0.25">
      <c r="D40" s="46" t="s">
        <v>45</v>
      </c>
      <c r="E40" s="47">
        <v>1</v>
      </c>
      <c r="F40" s="40"/>
      <c r="G40" s="40"/>
      <c r="H40" s="40"/>
      <c r="I40" s="40"/>
      <c r="J40" s="40">
        <f>March[[#This Row],[Hours 04/03]]+March[[#This Row],[Hours 11/03]]+March[[#This Row],[Hours 18/03]]+March[[#This Row],[Hours 25/03]]</f>
        <v>1</v>
      </c>
      <c r="K40" s="21"/>
      <c r="L40" s="21"/>
      <c r="M40" s="21"/>
      <c r="N40" s="21"/>
      <c r="Q40" s="50"/>
    </row>
    <row r="41" spans="4:17" x14ac:dyDescent="0.25">
      <c r="D41" s="35" t="s">
        <v>36</v>
      </c>
      <c r="E41" s="38">
        <v>5</v>
      </c>
      <c r="F41" s="36"/>
      <c r="G41" s="36"/>
      <c r="H41" s="36"/>
      <c r="I41" s="36"/>
      <c r="J41" s="36">
        <f>March[[#This Row],[Hours 04/03]]+March[[#This Row],[Hours 11/03]]+March[[#This Row],[Hours 18/03]]+March[[#This Row],[Hours 25/03]]</f>
        <v>5</v>
      </c>
      <c r="K41" s="21"/>
      <c r="L41" s="21"/>
      <c r="M41" s="21"/>
      <c r="N41" s="21"/>
      <c r="Q41" s="50"/>
    </row>
    <row r="42" spans="4:17" x14ac:dyDescent="0.25">
      <c r="D42" s="46" t="s">
        <v>62</v>
      </c>
      <c r="E42" s="47">
        <v>2</v>
      </c>
      <c r="F42" s="40"/>
      <c r="G42" s="40"/>
      <c r="H42" s="40"/>
      <c r="I42" s="40"/>
      <c r="J42" s="40">
        <f>March[[#This Row],[Hours 04/03]]+March[[#This Row],[Hours 11/03]]+March[[#This Row],[Hours 18/03]]+March[[#This Row],[Hours 25/03]]</f>
        <v>2</v>
      </c>
      <c r="K42" s="21"/>
      <c r="L42" s="21"/>
      <c r="M42" s="21"/>
      <c r="N42" s="21"/>
      <c r="Q42" s="50"/>
    </row>
    <row r="43" spans="4:17" x14ac:dyDescent="0.25">
      <c r="D43" s="35"/>
      <c r="E43" s="38"/>
      <c r="F43" s="36"/>
      <c r="G43" s="36"/>
      <c r="H43" s="36"/>
      <c r="I43" s="36"/>
      <c r="J43" s="36">
        <f>March[[#This Row],[Hours 04/03]]+March[[#This Row],[Hours 11/03]]+March[[#This Row],[Hours 18/03]]+March[[#This Row],[Hours 25/03]]</f>
        <v>0</v>
      </c>
      <c r="K43" s="21"/>
      <c r="L43" s="21"/>
      <c r="M43" s="21"/>
      <c r="N43" s="21"/>
      <c r="Q43" s="50"/>
    </row>
    <row r="44" spans="4:17" x14ac:dyDescent="0.25">
      <c r="D44" s="46"/>
      <c r="E44" s="47"/>
      <c r="F44" s="40"/>
      <c r="G44" s="40"/>
      <c r="H44" s="40"/>
      <c r="I44" s="40"/>
      <c r="J44" s="40">
        <f>March[[#This Row],[Hours 04/03]]+March[[#This Row],[Hours 11/03]]+March[[#This Row],[Hours 18/03]]+March[[#This Row],[Hours 25/03]]</f>
        <v>0</v>
      </c>
      <c r="K44" s="21"/>
      <c r="L44" s="21"/>
      <c r="M44" s="21"/>
      <c r="N44" s="21"/>
      <c r="Q44" s="50"/>
    </row>
    <row r="45" spans="4:17" x14ac:dyDescent="0.25">
      <c r="D45" s="35"/>
      <c r="E45" s="38"/>
      <c r="F45" s="36"/>
      <c r="G45" s="36"/>
      <c r="H45" s="36"/>
      <c r="I45" s="36"/>
      <c r="J45" s="36">
        <f>March[[#This Row],[Hours 04/03]]+March[[#This Row],[Hours 11/03]]+March[[#This Row],[Hours 18/03]]+March[[#This Row],[Hours 25/03]]</f>
        <v>0</v>
      </c>
      <c r="K45" s="21"/>
      <c r="L45" s="21"/>
      <c r="M45" s="21"/>
      <c r="N45" s="21"/>
      <c r="Q45" s="50"/>
    </row>
    <row r="46" spans="4:17" x14ac:dyDescent="0.25">
      <c r="D46" s="46"/>
      <c r="E46" s="47"/>
      <c r="F46" s="40"/>
      <c r="G46" s="40"/>
      <c r="H46" s="40"/>
      <c r="I46" s="40"/>
      <c r="J46" s="40">
        <f>March[[#This Row],[Hours 04/03]]+March[[#This Row],[Hours 11/03]]+March[[#This Row],[Hours 18/03]]+March[[#This Row],[Hours 25/03]]</f>
        <v>0</v>
      </c>
      <c r="K46" s="21"/>
      <c r="L46" s="21"/>
      <c r="M46" s="21"/>
      <c r="N46" s="21"/>
      <c r="Q46" s="50"/>
    </row>
    <row r="47" spans="4:17" x14ac:dyDescent="0.25">
      <c r="D47" s="35"/>
      <c r="E47" s="38"/>
      <c r="F47" s="36"/>
      <c r="G47" s="36"/>
      <c r="H47" s="36"/>
      <c r="I47" s="36"/>
      <c r="J47" s="36">
        <f>March[[#This Row],[Hours 04/03]]+March[[#This Row],[Hours 11/03]]+March[[#This Row],[Hours 18/03]]+March[[#This Row],[Hours 25/03]]</f>
        <v>0</v>
      </c>
      <c r="K47" s="21"/>
      <c r="L47" s="21"/>
      <c r="M47" s="21"/>
      <c r="N47" s="21"/>
      <c r="Q47" s="50"/>
    </row>
    <row r="48" spans="4:17" ht="13" x14ac:dyDescent="0.3">
      <c r="D48" s="37"/>
      <c r="E48" s="16"/>
      <c r="F48" s="6"/>
      <c r="G48" s="6"/>
      <c r="H48" s="6"/>
      <c r="I48" s="6"/>
      <c r="J48" s="40">
        <f>March[[#This Row],[Hours 04/03]]+March[[#This Row],[Hours 11/03]]+March[[#This Row],[Hours 18/03]]+March[[#This Row],[Hours 25/03]]</f>
        <v>0</v>
      </c>
      <c r="K48" s="21"/>
      <c r="L48" s="21"/>
      <c r="M48" s="21"/>
      <c r="N48" s="52"/>
      <c r="O48"/>
      <c r="Q48" s="50"/>
    </row>
    <row r="49" spans="4:18" ht="13" x14ac:dyDescent="0.3">
      <c r="D49" s="35"/>
      <c r="E49" s="38"/>
      <c r="F49" s="36"/>
      <c r="G49" s="36"/>
      <c r="H49" s="36"/>
      <c r="I49" s="36"/>
      <c r="J49" s="36">
        <f>March[[#This Row],[Hours 04/03]]+March[[#This Row],[Hours 11/03]]+March[[#This Row],[Hours 18/03]]+March[[#This Row],[Hours 25/03]]</f>
        <v>0</v>
      </c>
      <c r="K49" s="21"/>
      <c r="L49" s="21"/>
      <c r="M49" s="21"/>
      <c r="N49" s="52"/>
      <c r="O49"/>
      <c r="Q49" s="50"/>
    </row>
    <row r="50" spans="4:18" ht="13" x14ac:dyDescent="0.3">
      <c r="D50" s="37"/>
      <c r="E50" s="16"/>
      <c r="F50" s="6"/>
      <c r="G50" s="6"/>
      <c r="H50" s="6"/>
      <c r="I50" s="6"/>
      <c r="J50" s="40">
        <f>March[[#This Row],[Hours 04/03]]+March[[#This Row],[Hours 11/03]]+March[[#This Row],[Hours 18/03]]+March[[#This Row],[Hours 25/03]]</f>
        <v>0</v>
      </c>
      <c r="K50" s="21"/>
      <c r="L50" s="21"/>
      <c r="M50" s="21"/>
      <c r="N50" s="52"/>
      <c r="O50"/>
      <c r="Q50" s="50"/>
    </row>
    <row r="51" spans="4:18" ht="13" x14ac:dyDescent="0.3">
      <c r="D51" s="35"/>
      <c r="E51" s="38"/>
      <c r="F51" s="36"/>
      <c r="G51" s="36"/>
      <c r="H51" s="36"/>
      <c r="I51" s="36"/>
      <c r="J51" s="36">
        <f>March[[#This Row],[Hours 04/03]]+March[[#This Row],[Hours 11/03]]+March[[#This Row],[Hours 18/03]]+March[[#This Row],[Hours 25/03]]</f>
        <v>0</v>
      </c>
      <c r="K51" s="21"/>
      <c r="L51" s="21"/>
      <c r="M51" s="21"/>
      <c r="N51" s="52"/>
      <c r="O51"/>
      <c r="Q51" s="50"/>
    </row>
    <row r="52" spans="4:18" ht="13" x14ac:dyDescent="0.3">
      <c r="D52" s="37"/>
      <c r="E52" s="16"/>
      <c r="F52" s="6"/>
      <c r="G52" s="6"/>
      <c r="H52" s="6"/>
      <c r="I52" s="6"/>
      <c r="J52" s="40">
        <f>March[[#This Row],[Hours 04/03]]+March[[#This Row],[Hours 11/03]]+March[[#This Row],[Hours 18/03]]+March[[#This Row],[Hours 25/03]]</f>
        <v>0</v>
      </c>
      <c r="K52" s="21"/>
      <c r="L52" s="21"/>
      <c r="M52" s="21"/>
      <c r="N52" s="52"/>
      <c r="O52"/>
      <c r="Q52" s="50"/>
    </row>
    <row r="53" spans="4:18" ht="13" x14ac:dyDescent="0.3">
      <c r="D53" s="35"/>
      <c r="E53" s="38"/>
      <c r="F53" s="36"/>
      <c r="G53" s="36"/>
      <c r="H53" s="36"/>
      <c r="I53" s="36"/>
      <c r="J53" s="36">
        <f>March[[#This Row],[Hours 04/03]]+March[[#This Row],[Hours 11/03]]+March[[#This Row],[Hours 18/03]]+March[[#This Row],[Hours 25/03]]</f>
        <v>0</v>
      </c>
      <c r="K53" s="21"/>
      <c r="L53" s="21"/>
      <c r="M53" s="21"/>
      <c r="N53" s="52"/>
      <c r="O53"/>
      <c r="Q53" s="50"/>
    </row>
    <row r="54" spans="4:18" ht="13" x14ac:dyDescent="0.3">
      <c r="D54" s="15" t="s">
        <v>5</v>
      </c>
      <c r="E54" s="16">
        <f>SUM(E39:E53)</f>
        <v>39</v>
      </c>
      <c r="F54" s="6">
        <f>SUM(F39:F53)</f>
        <v>0</v>
      </c>
      <c r="G54" s="6">
        <f>SUM(G39:G53)</f>
        <v>0</v>
      </c>
      <c r="H54" s="6">
        <f>SUM(H39:H53)</f>
        <v>0</v>
      </c>
      <c r="I54" s="6"/>
      <c r="J54" s="42">
        <f>SUM(March[Total])</f>
        <v>39</v>
      </c>
      <c r="K54" s="21"/>
      <c r="L54" s="21"/>
      <c r="M54" s="21"/>
      <c r="N54" s="52"/>
      <c r="O54"/>
      <c r="Q54" s="50"/>
    </row>
    <row r="55" spans="4:18" ht="15.5" x14ac:dyDescent="0.35">
      <c r="D55" s="11" t="s">
        <v>8</v>
      </c>
      <c r="E55" s="11"/>
      <c r="F55" s="11"/>
      <c r="G55" s="11"/>
      <c r="H55" s="11"/>
      <c r="I55" s="11"/>
      <c r="J55" s="11"/>
      <c r="K55" s="11"/>
      <c r="L55" s="11"/>
      <c r="M55" s="11"/>
      <c r="N55" s="11"/>
      <c r="Q55"/>
      <c r="R55"/>
    </row>
    <row r="56" spans="4:18" ht="15" customHeight="1" x14ac:dyDescent="0.3">
      <c r="D56" s="12" t="s">
        <v>23</v>
      </c>
      <c r="E56" s="13" t="s">
        <v>82</v>
      </c>
      <c r="F56" s="13" t="s">
        <v>83</v>
      </c>
      <c r="G56" s="13" t="s">
        <v>84</v>
      </c>
      <c r="H56" s="13" t="s">
        <v>85</v>
      </c>
      <c r="I56" s="13" t="s">
        <v>86</v>
      </c>
      <c r="J56" s="14" t="s">
        <v>5</v>
      </c>
      <c r="K56" s="21"/>
      <c r="L56" s="52"/>
      <c r="M56" s="52"/>
      <c r="N56" s="21"/>
    </row>
    <row r="57" spans="4:18" x14ac:dyDescent="0.25">
      <c r="D57" s="35"/>
      <c r="E57" s="38"/>
      <c r="F57" s="36"/>
      <c r="G57" s="36"/>
      <c r="H57" s="36"/>
      <c r="I57" s="36"/>
      <c r="J57" s="36">
        <f>April[[#This Row],[Hours 01/04]]+April[[#This Row],[Hours 08/04]]+April[[#This Row],[Hours 15/04]]+April[[#This Row],[Hours 22/04]]+April[[#This Row],[Hours 29/04]]</f>
        <v>0</v>
      </c>
      <c r="K57" s="21"/>
      <c r="L57" s="21"/>
      <c r="M57" s="21"/>
      <c r="N57" s="21"/>
    </row>
    <row r="58" spans="4:18" x14ac:dyDescent="0.25">
      <c r="D58" s="37"/>
      <c r="E58" s="16"/>
      <c r="F58" s="6"/>
      <c r="G58" s="6"/>
      <c r="H58" s="6"/>
      <c r="I58" s="6"/>
      <c r="J58" s="40">
        <f>April[[#This Row],[Hours 01/04]]+April[[#This Row],[Hours 08/04]]+April[[#This Row],[Hours 15/04]]+April[[#This Row],[Hours 22/04]]+April[[#This Row],[Hours 29/04]]</f>
        <v>0</v>
      </c>
      <c r="K58" s="21"/>
      <c r="L58" s="21"/>
      <c r="M58" s="21"/>
      <c r="N58" s="21"/>
    </row>
    <row r="59" spans="4:18" x14ac:dyDescent="0.25">
      <c r="D59" s="35"/>
      <c r="E59" s="38"/>
      <c r="F59" s="36"/>
      <c r="G59" s="36"/>
      <c r="H59" s="36"/>
      <c r="I59" s="36"/>
      <c r="J59" s="36">
        <f>April[[#This Row],[Hours 01/04]]+April[[#This Row],[Hours 08/04]]+April[[#This Row],[Hours 15/04]]+April[[#This Row],[Hours 22/04]]+April[[#This Row],[Hours 29/04]]</f>
        <v>0</v>
      </c>
      <c r="K59" s="21"/>
      <c r="L59" s="21"/>
      <c r="M59" s="21"/>
      <c r="N59" s="21"/>
    </row>
    <row r="60" spans="4:18" x14ac:dyDescent="0.25">
      <c r="D60" s="46"/>
      <c r="E60" s="47"/>
      <c r="F60" s="40"/>
      <c r="G60" s="40"/>
      <c r="H60" s="40"/>
      <c r="I60" s="40"/>
      <c r="J60" s="40">
        <f>April[[#This Row],[Hours 01/04]]+April[[#This Row],[Hours 08/04]]+April[[#This Row],[Hours 15/04]]+April[[#This Row],[Hours 22/04]]+April[[#This Row],[Hours 29/04]]</f>
        <v>0</v>
      </c>
      <c r="K60" s="21"/>
      <c r="L60" s="21"/>
      <c r="M60" s="21"/>
      <c r="N60" s="21"/>
    </row>
    <row r="61" spans="4:18" x14ac:dyDescent="0.25">
      <c r="D61" s="35"/>
      <c r="E61" s="38"/>
      <c r="F61" s="36"/>
      <c r="G61" s="36"/>
      <c r="H61" s="36"/>
      <c r="I61" s="36"/>
      <c r="J61" s="36">
        <f>April[[#This Row],[Hours 01/04]]+April[[#This Row],[Hours 08/04]]+April[[#This Row],[Hours 15/04]]+April[[#This Row],[Hours 22/04]]+April[[#This Row],[Hours 29/04]]</f>
        <v>0</v>
      </c>
      <c r="K61" s="21"/>
      <c r="L61" s="21"/>
      <c r="M61" s="21"/>
      <c r="N61" s="21"/>
    </row>
    <row r="62" spans="4:18" x14ac:dyDescent="0.25">
      <c r="D62" s="46"/>
      <c r="E62" s="47"/>
      <c r="F62" s="40"/>
      <c r="G62" s="40"/>
      <c r="H62" s="40"/>
      <c r="I62" s="40"/>
      <c r="J62" s="40">
        <f>April[[#This Row],[Hours 01/04]]+April[[#This Row],[Hours 08/04]]+April[[#This Row],[Hours 15/04]]+April[[#This Row],[Hours 22/04]]+April[[#This Row],[Hours 29/04]]</f>
        <v>0</v>
      </c>
      <c r="K62" s="21"/>
      <c r="L62" s="21"/>
      <c r="M62" s="21"/>
      <c r="N62" s="21"/>
    </row>
    <row r="63" spans="4:18" x14ac:dyDescent="0.25">
      <c r="D63" s="35"/>
      <c r="E63" s="38"/>
      <c r="F63" s="36"/>
      <c r="G63" s="36"/>
      <c r="H63" s="36"/>
      <c r="I63" s="36"/>
      <c r="J63" s="36">
        <f>April[[#This Row],[Hours 01/04]]+April[[#This Row],[Hours 08/04]]+April[[#This Row],[Hours 15/04]]+April[[#This Row],[Hours 22/04]]+April[[#This Row],[Hours 29/04]]</f>
        <v>0</v>
      </c>
      <c r="K63" s="21"/>
      <c r="L63" s="21"/>
      <c r="M63" s="21"/>
      <c r="N63" s="21"/>
    </row>
    <row r="64" spans="4:18" x14ac:dyDescent="0.25">
      <c r="D64" s="46"/>
      <c r="E64" s="47"/>
      <c r="F64" s="40"/>
      <c r="G64" s="40"/>
      <c r="H64" s="40"/>
      <c r="I64" s="40"/>
      <c r="J64" s="40">
        <f>April[[#This Row],[Hours 01/04]]+April[[#This Row],[Hours 08/04]]+April[[#This Row],[Hours 15/04]]+April[[#This Row],[Hours 22/04]]+April[[#This Row],[Hours 29/04]]</f>
        <v>0</v>
      </c>
      <c r="K64" s="21"/>
      <c r="L64" s="21"/>
      <c r="M64" s="21"/>
      <c r="N64" s="21"/>
    </row>
    <row r="65" spans="4:17" x14ac:dyDescent="0.25">
      <c r="D65" s="35"/>
      <c r="E65" s="38"/>
      <c r="F65" s="36"/>
      <c r="G65" s="36"/>
      <c r="H65" s="36"/>
      <c r="I65" s="36"/>
      <c r="J65" s="36">
        <f>April[[#This Row],[Hours 01/04]]+April[[#This Row],[Hours 08/04]]+April[[#This Row],[Hours 15/04]]+April[[#This Row],[Hours 22/04]]+April[[#This Row],[Hours 29/04]]</f>
        <v>0</v>
      </c>
      <c r="K65" s="21"/>
      <c r="L65" s="21"/>
      <c r="M65" s="21"/>
      <c r="N65" s="21"/>
    </row>
    <row r="66" spans="4:17" x14ac:dyDescent="0.25">
      <c r="D66" s="46"/>
      <c r="E66" s="47"/>
      <c r="F66" s="40"/>
      <c r="G66" s="40"/>
      <c r="H66" s="40"/>
      <c r="I66" s="40"/>
      <c r="J66" s="40">
        <f>April[[#This Row],[Hours 01/04]]+April[[#This Row],[Hours 08/04]]+April[[#This Row],[Hours 15/04]]+April[[#This Row],[Hours 22/04]]+April[[#This Row],[Hours 29/04]]</f>
        <v>0</v>
      </c>
      <c r="K66" s="21"/>
      <c r="L66" s="21"/>
      <c r="M66" s="21"/>
      <c r="N66" s="21"/>
    </row>
    <row r="67" spans="4:17" x14ac:dyDescent="0.25">
      <c r="D67" s="35"/>
      <c r="E67" s="38"/>
      <c r="F67" s="36"/>
      <c r="G67" s="36"/>
      <c r="H67" s="36"/>
      <c r="I67" s="36"/>
      <c r="J67" s="36">
        <f>April[[#This Row],[Hours 01/04]]+April[[#This Row],[Hours 08/04]]+April[[#This Row],[Hours 15/04]]+April[[#This Row],[Hours 22/04]]+April[[#This Row],[Hours 29/04]]</f>
        <v>0</v>
      </c>
      <c r="K67" s="21"/>
      <c r="L67" s="21"/>
      <c r="M67" s="21"/>
      <c r="N67" s="21"/>
    </row>
    <row r="68" spans="4:17" x14ac:dyDescent="0.25">
      <c r="D68" s="37"/>
      <c r="E68" s="16"/>
      <c r="F68" s="6"/>
      <c r="G68" s="6"/>
      <c r="H68" s="6"/>
      <c r="I68" s="6"/>
      <c r="J68" s="40">
        <f>April[[#This Row],[Hours 01/04]]+April[[#This Row],[Hours 08/04]]+April[[#This Row],[Hours 15/04]]+April[[#This Row],[Hours 22/04]]+April[[#This Row],[Hours 29/04]]</f>
        <v>0</v>
      </c>
      <c r="K68" s="21"/>
      <c r="L68" s="21"/>
      <c r="M68" s="21"/>
      <c r="N68" s="21"/>
    </row>
    <row r="69" spans="4:17" x14ac:dyDescent="0.25">
      <c r="D69" s="35"/>
      <c r="E69" s="38"/>
      <c r="F69" s="36"/>
      <c r="G69" s="36"/>
      <c r="H69" s="36"/>
      <c r="I69" s="36"/>
      <c r="J69" s="36">
        <f>April[[#This Row],[Hours 01/04]]+April[[#This Row],[Hours 08/04]]+April[[#This Row],[Hours 15/04]]+April[[#This Row],[Hours 22/04]]+April[[#This Row],[Hours 29/04]]</f>
        <v>0</v>
      </c>
      <c r="K69" s="21"/>
      <c r="L69" s="21"/>
      <c r="M69" s="21"/>
      <c r="N69" s="21"/>
    </row>
    <row r="70" spans="4:17" x14ac:dyDescent="0.25">
      <c r="D70" s="37"/>
      <c r="E70" s="16"/>
      <c r="F70" s="6"/>
      <c r="G70" s="6"/>
      <c r="H70" s="6"/>
      <c r="I70" s="6"/>
      <c r="J70" s="40">
        <f>April[[#This Row],[Hours 01/04]]+April[[#This Row],[Hours 08/04]]+April[[#This Row],[Hours 15/04]]+April[[#This Row],[Hours 22/04]]+April[[#This Row],[Hours 29/04]]</f>
        <v>0</v>
      </c>
      <c r="K70" s="21"/>
      <c r="L70" s="21"/>
      <c r="M70" s="21"/>
      <c r="N70" s="21"/>
    </row>
    <row r="71" spans="4:17" x14ac:dyDescent="0.25">
      <c r="D71" s="35"/>
      <c r="E71" s="38"/>
      <c r="F71" s="36"/>
      <c r="G71" s="36"/>
      <c r="H71" s="36"/>
      <c r="I71" s="36"/>
      <c r="J71" s="36">
        <f>April[[#This Row],[Hours 01/04]]+April[[#This Row],[Hours 08/04]]+April[[#This Row],[Hours 15/04]]+April[[#This Row],[Hours 22/04]]+April[[#This Row],[Hours 29/04]]</f>
        <v>0</v>
      </c>
      <c r="K71" s="21"/>
      <c r="L71" s="21"/>
      <c r="M71" s="21"/>
      <c r="N71" s="21"/>
    </row>
    <row r="72" spans="4:17" x14ac:dyDescent="0.25">
      <c r="D72" s="15" t="s">
        <v>5</v>
      </c>
      <c r="E72" s="16">
        <f>SUM(E57:E71)</f>
        <v>0</v>
      </c>
      <c r="F72" s="6">
        <f>SUM(F57:F71)</f>
        <v>0</v>
      </c>
      <c r="G72" s="6">
        <f>SUM(G57:G71)</f>
        <v>0</v>
      </c>
      <c r="H72" s="6">
        <f>SUM(H57:H71)</f>
        <v>0</v>
      </c>
      <c r="I72" s="6"/>
      <c r="J72" s="42">
        <f>SUM(April[Total])</f>
        <v>0</v>
      </c>
      <c r="K72" s="21"/>
      <c r="L72" s="21"/>
      <c r="M72" s="21"/>
      <c r="N72" s="21"/>
    </row>
    <row r="73" spans="4:17" ht="15" customHeight="1" x14ac:dyDescent="0.35">
      <c r="D73" s="11" t="s">
        <v>9</v>
      </c>
    </row>
    <row r="74" spans="4:17" x14ac:dyDescent="0.25">
      <c r="D74" s="12" t="s">
        <v>23</v>
      </c>
      <c r="E74" s="13" t="s">
        <v>87</v>
      </c>
      <c r="F74" s="13" t="s">
        <v>88</v>
      </c>
      <c r="G74" s="13" t="s">
        <v>89</v>
      </c>
      <c r="H74" s="13" t="s">
        <v>90</v>
      </c>
      <c r="I74" s="13" t="s">
        <v>125</v>
      </c>
      <c r="J74" s="14" t="s">
        <v>5</v>
      </c>
      <c r="K74" s="21"/>
      <c r="L74" s="21"/>
      <c r="M74" s="21"/>
      <c r="N74" s="21"/>
      <c r="Q74" s="50"/>
    </row>
    <row r="75" spans="4:17" x14ac:dyDescent="0.25">
      <c r="D75" s="35"/>
      <c r="E75" s="38"/>
      <c r="F75" s="36"/>
      <c r="G75" s="36"/>
      <c r="H75" s="36"/>
      <c r="I75" s="36"/>
      <c r="J75" s="36">
        <f>May[[#This Row],[Hours 06/05]]+May[[#This Row],[Hours 13/05]]+May[[#This Row],[Hours 20/05]]+May[[#This Row],[Hours 27/05]]</f>
        <v>0</v>
      </c>
      <c r="K75" s="21"/>
      <c r="L75" s="21"/>
      <c r="M75" s="21"/>
      <c r="N75" s="21"/>
      <c r="Q75" s="50"/>
    </row>
    <row r="76" spans="4:17" x14ac:dyDescent="0.25">
      <c r="D76" s="37"/>
      <c r="E76" s="16"/>
      <c r="F76" s="6"/>
      <c r="G76" s="6"/>
      <c r="H76" s="6"/>
      <c r="I76" s="6"/>
      <c r="J76" s="40">
        <f>May[[#This Row],[Hours 06/05]]+May[[#This Row],[Hours 13/05]]+May[[#This Row],[Hours 20/05]]+May[[#This Row],[Hours 27/05]]</f>
        <v>0</v>
      </c>
      <c r="K76" s="21"/>
      <c r="L76" s="21"/>
      <c r="M76" s="21"/>
      <c r="N76" s="21"/>
      <c r="Q76" s="50"/>
    </row>
    <row r="77" spans="4:17" x14ac:dyDescent="0.25">
      <c r="D77" s="35"/>
      <c r="E77" s="38"/>
      <c r="F77" s="36"/>
      <c r="G77" s="36"/>
      <c r="H77" s="36"/>
      <c r="I77" s="36"/>
      <c r="J77" s="36">
        <f>May[[#This Row],[Hours 06/05]]+May[[#This Row],[Hours 13/05]]+May[[#This Row],[Hours 20/05]]+May[[#This Row],[Hours 27/05]]</f>
        <v>0</v>
      </c>
      <c r="K77" s="21"/>
      <c r="L77" s="21"/>
      <c r="M77" s="21"/>
      <c r="N77" s="21"/>
      <c r="Q77" s="50"/>
    </row>
    <row r="78" spans="4:17" x14ac:dyDescent="0.25">
      <c r="D78" s="46"/>
      <c r="E78" s="47"/>
      <c r="F78" s="40"/>
      <c r="G78" s="40"/>
      <c r="H78" s="40"/>
      <c r="I78" s="40"/>
      <c r="J78" s="40">
        <f>May[[#This Row],[Hours 06/05]]+May[[#This Row],[Hours 13/05]]+May[[#This Row],[Hours 20/05]]+May[[#This Row],[Hours 27/05]]</f>
        <v>0</v>
      </c>
      <c r="K78" s="21"/>
      <c r="L78" s="21"/>
      <c r="M78" s="21"/>
      <c r="N78" s="21"/>
      <c r="Q78" s="50"/>
    </row>
    <row r="79" spans="4:17" x14ac:dyDescent="0.25">
      <c r="D79" s="48"/>
      <c r="E79" s="38"/>
      <c r="F79" s="36"/>
      <c r="G79" s="36"/>
      <c r="H79" s="36"/>
      <c r="I79" s="36"/>
      <c r="J79" s="36">
        <f>May[[#This Row],[Hours 06/05]]+May[[#This Row],[Hours 13/05]]+May[[#This Row],[Hours 20/05]]+May[[#This Row],[Hours 27/05]]</f>
        <v>0</v>
      </c>
      <c r="K79" s="21"/>
      <c r="L79" s="21"/>
      <c r="M79" s="21"/>
      <c r="N79" s="21"/>
      <c r="Q79" s="50"/>
    </row>
    <row r="80" spans="4:17" x14ac:dyDescent="0.25">
      <c r="D80" s="46"/>
      <c r="E80" s="47"/>
      <c r="F80" s="40"/>
      <c r="G80" s="40"/>
      <c r="H80" s="40"/>
      <c r="I80" s="40"/>
      <c r="J80" s="40">
        <f>May[[#This Row],[Hours 06/05]]+May[[#This Row],[Hours 13/05]]+May[[#This Row],[Hours 20/05]]+May[[#This Row],[Hours 27/05]]</f>
        <v>0</v>
      </c>
      <c r="K80" s="21"/>
      <c r="L80" s="21"/>
      <c r="M80" s="21"/>
      <c r="N80" s="21"/>
      <c r="Q80" s="50"/>
    </row>
    <row r="81" spans="4:17" x14ac:dyDescent="0.25">
      <c r="D81" s="35"/>
      <c r="E81" s="38"/>
      <c r="F81" s="36"/>
      <c r="G81" s="36"/>
      <c r="H81" s="36"/>
      <c r="I81" s="36"/>
      <c r="J81" s="36">
        <f>May[[#This Row],[Hours 06/05]]+May[[#This Row],[Hours 13/05]]+May[[#This Row],[Hours 20/05]]+May[[#This Row],[Hours 27/05]]</f>
        <v>0</v>
      </c>
      <c r="K81" s="21"/>
      <c r="L81" s="21"/>
      <c r="M81" s="21"/>
      <c r="N81" s="21"/>
      <c r="Q81" s="50"/>
    </row>
    <row r="82" spans="4:17" x14ac:dyDescent="0.25">
      <c r="D82" s="46"/>
      <c r="E82" s="47"/>
      <c r="F82" s="40"/>
      <c r="G82" s="40"/>
      <c r="H82" s="40"/>
      <c r="I82" s="40"/>
      <c r="J82" s="40">
        <f>May[[#This Row],[Hours 06/05]]+May[[#This Row],[Hours 13/05]]+May[[#This Row],[Hours 20/05]]+May[[#This Row],[Hours 27/05]]</f>
        <v>0</v>
      </c>
      <c r="K82" s="21"/>
      <c r="L82" s="21"/>
      <c r="M82" s="21"/>
      <c r="N82" s="21"/>
      <c r="Q82" s="50"/>
    </row>
    <row r="83" spans="4:17" x14ac:dyDescent="0.25">
      <c r="D83" s="35"/>
      <c r="E83" s="38"/>
      <c r="F83" s="36"/>
      <c r="G83" s="36"/>
      <c r="H83" s="36"/>
      <c r="I83" s="36"/>
      <c r="J83" s="36">
        <f>May[[#This Row],[Hours 06/05]]+May[[#This Row],[Hours 13/05]]+May[[#This Row],[Hours 20/05]]+May[[#This Row],[Hours 27/05]]</f>
        <v>0</v>
      </c>
      <c r="K83" s="21"/>
      <c r="L83" s="21"/>
      <c r="M83" s="21"/>
      <c r="N83" s="21"/>
      <c r="Q83" s="50"/>
    </row>
    <row r="84" spans="4:17" x14ac:dyDescent="0.25">
      <c r="D84" s="46"/>
      <c r="E84" s="47"/>
      <c r="F84" s="40"/>
      <c r="G84" s="40"/>
      <c r="H84" s="40"/>
      <c r="I84" s="40"/>
      <c r="J84" s="40">
        <f>May[[#This Row],[Hours 06/05]]+May[[#This Row],[Hours 13/05]]+May[[#This Row],[Hours 20/05]]+May[[#This Row],[Hours 27/05]]</f>
        <v>0</v>
      </c>
      <c r="K84" s="21"/>
      <c r="L84" s="21"/>
      <c r="M84" s="21"/>
      <c r="N84" s="21"/>
      <c r="Q84" s="50"/>
    </row>
    <row r="85" spans="4:17" x14ac:dyDescent="0.25">
      <c r="D85" s="35"/>
      <c r="E85" s="38"/>
      <c r="F85" s="36"/>
      <c r="G85" s="36"/>
      <c r="H85" s="36"/>
      <c r="I85" s="36"/>
      <c r="J85" s="36">
        <f>May[[#This Row],[Hours 06/05]]+May[[#This Row],[Hours 13/05]]+May[[#This Row],[Hours 20/05]]+May[[#This Row],[Hours 27/05]]</f>
        <v>0</v>
      </c>
      <c r="K85" s="21"/>
      <c r="L85" s="21"/>
      <c r="M85" s="21"/>
      <c r="N85" s="21"/>
      <c r="Q85" s="50"/>
    </row>
    <row r="86" spans="4:17" x14ac:dyDescent="0.25">
      <c r="D86" s="37"/>
      <c r="E86" s="16"/>
      <c r="F86" s="6"/>
      <c r="G86" s="6"/>
      <c r="H86" s="6"/>
      <c r="I86" s="6"/>
      <c r="J86" s="40">
        <f>May[[#This Row],[Hours 06/05]]+May[[#This Row],[Hours 13/05]]+May[[#This Row],[Hours 20/05]]+May[[#This Row],[Hours 27/05]]</f>
        <v>0</v>
      </c>
      <c r="K86" s="21"/>
      <c r="L86" s="21"/>
      <c r="M86" s="21"/>
      <c r="N86" s="21"/>
      <c r="Q86" s="50"/>
    </row>
    <row r="87" spans="4:17" x14ac:dyDescent="0.25">
      <c r="D87" s="35"/>
      <c r="E87" s="38"/>
      <c r="F87" s="36"/>
      <c r="G87" s="36"/>
      <c r="H87" s="36"/>
      <c r="I87" s="36"/>
      <c r="J87" s="36">
        <f>May[[#This Row],[Hours 06/05]]+May[[#This Row],[Hours 13/05]]+May[[#This Row],[Hours 20/05]]+May[[#This Row],[Hours 27/05]]</f>
        <v>0</v>
      </c>
      <c r="K87" s="21"/>
      <c r="L87" s="21"/>
      <c r="M87" s="21"/>
      <c r="N87" s="21"/>
      <c r="Q87" s="50"/>
    </row>
    <row r="88" spans="4:17" x14ac:dyDescent="0.25">
      <c r="D88" s="37"/>
      <c r="E88" s="16"/>
      <c r="F88" s="6"/>
      <c r="G88" s="6"/>
      <c r="H88" s="6"/>
      <c r="I88" s="6"/>
      <c r="J88" s="40">
        <f>May[[#This Row],[Hours 06/05]]+May[[#This Row],[Hours 13/05]]+May[[#This Row],[Hours 20/05]]+May[[#This Row],[Hours 27/05]]</f>
        <v>0</v>
      </c>
      <c r="K88" s="21"/>
      <c r="L88" s="21"/>
      <c r="M88" s="21"/>
      <c r="N88" s="21"/>
      <c r="Q88" s="50"/>
    </row>
    <row r="89" spans="4:17" x14ac:dyDescent="0.25">
      <c r="D89" s="35"/>
      <c r="E89" s="38"/>
      <c r="F89" s="36"/>
      <c r="G89" s="36"/>
      <c r="H89" s="36"/>
      <c r="I89" s="36"/>
      <c r="J89" s="36">
        <f>May[[#This Row],[Hours 06/05]]+May[[#This Row],[Hours 13/05]]+May[[#This Row],[Hours 20/05]]+May[[#This Row],[Hours 27/05]]</f>
        <v>0</v>
      </c>
      <c r="K89" s="21"/>
      <c r="L89" s="21"/>
      <c r="M89" s="21"/>
      <c r="N89" s="21"/>
      <c r="Q89" s="50"/>
    </row>
    <row r="90" spans="4:17" ht="15" customHeight="1" x14ac:dyDescent="0.25">
      <c r="D90" s="15" t="s">
        <v>5</v>
      </c>
      <c r="E90" s="16">
        <f>SUM(E75:E89)</f>
        <v>0</v>
      </c>
      <c r="F90" s="6">
        <f>SUM(F75:F89)</f>
        <v>0</v>
      </c>
      <c r="G90" s="6">
        <f>SUM(G75:G89)</f>
        <v>0</v>
      </c>
      <c r="H90" s="6">
        <f>SUM(H75:H89)</f>
        <v>0</v>
      </c>
      <c r="I90" s="6"/>
      <c r="J90" s="42">
        <f>SUM(May[Total])</f>
        <v>0</v>
      </c>
      <c r="K90" s="21"/>
      <c r="L90" s="21"/>
      <c r="M90" s="21"/>
      <c r="N90" s="21"/>
      <c r="Q90" s="50"/>
    </row>
    <row r="91" spans="4:17" ht="15" customHeight="1" x14ac:dyDescent="0.35">
      <c r="D91" s="11" t="s">
        <v>10</v>
      </c>
    </row>
    <row r="92" spans="4:17" ht="15" customHeight="1" x14ac:dyDescent="0.25">
      <c r="D92" s="12" t="s">
        <v>23</v>
      </c>
      <c r="E92" s="13" t="s">
        <v>91</v>
      </c>
      <c r="F92" s="13" t="s">
        <v>92</v>
      </c>
      <c r="G92" s="13" t="s">
        <v>93</v>
      </c>
      <c r="H92" s="13" t="s">
        <v>94</v>
      </c>
      <c r="I92" s="13" t="s">
        <v>125</v>
      </c>
      <c r="J92" s="14" t="s">
        <v>5</v>
      </c>
      <c r="K92" s="21"/>
      <c r="L92" s="21"/>
      <c r="M92" s="21"/>
      <c r="N92" s="21"/>
      <c r="Q92" s="50"/>
    </row>
    <row r="93" spans="4:17" x14ac:dyDescent="0.25">
      <c r="D93" s="35"/>
      <c r="E93" s="38"/>
      <c r="F93" s="36"/>
      <c r="G93" s="36"/>
      <c r="H93" s="36"/>
      <c r="I93" s="36"/>
      <c r="J93" s="36">
        <f>June[[#This Row],[Hours 03/06]]+June[[#This Row],[Hours 10/06]]+June[[#This Row],[Hours 17/06]]+June[[#This Row],[Hours 24/06]]</f>
        <v>0</v>
      </c>
      <c r="K93" s="21"/>
      <c r="L93" s="21"/>
      <c r="M93" s="21"/>
      <c r="N93" s="21"/>
      <c r="Q93" s="50"/>
    </row>
    <row r="94" spans="4:17" x14ac:dyDescent="0.25">
      <c r="D94" s="37"/>
      <c r="E94" s="16"/>
      <c r="F94" s="6"/>
      <c r="G94" s="6"/>
      <c r="H94" s="6"/>
      <c r="I94" s="6"/>
      <c r="J94" s="40">
        <f>June[[#This Row],[Hours 03/06]]+June[[#This Row],[Hours 10/06]]+June[[#This Row],[Hours 17/06]]+June[[#This Row],[Hours 24/06]]</f>
        <v>0</v>
      </c>
      <c r="K94" s="21"/>
      <c r="L94" s="21"/>
      <c r="M94" s="21"/>
      <c r="N94" s="21"/>
      <c r="Q94" s="50"/>
    </row>
    <row r="95" spans="4:17" ht="14.25" customHeight="1" x14ac:dyDescent="0.25">
      <c r="D95" s="35"/>
      <c r="E95" s="38"/>
      <c r="F95" s="36"/>
      <c r="G95" s="36"/>
      <c r="H95" s="36"/>
      <c r="I95" s="36"/>
      <c r="J95" s="36">
        <f>June[[#This Row],[Hours 03/06]]+June[[#This Row],[Hours 10/06]]+June[[#This Row],[Hours 17/06]]+June[[#This Row],[Hours 24/06]]</f>
        <v>0</v>
      </c>
      <c r="K95" s="21"/>
      <c r="L95" s="21"/>
      <c r="M95" s="21"/>
      <c r="N95" s="21"/>
      <c r="Q95" s="50"/>
    </row>
    <row r="96" spans="4:17" ht="14.25" customHeight="1" x14ac:dyDescent="0.25">
      <c r="D96" s="46"/>
      <c r="E96" s="47"/>
      <c r="F96" s="40"/>
      <c r="G96" s="40"/>
      <c r="H96" s="40"/>
      <c r="I96" s="40"/>
      <c r="J96" s="40">
        <f>June[[#This Row],[Hours 03/06]]+June[[#This Row],[Hours 10/06]]+June[[#This Row],[Hours 17/06]]+June[[#This Row],[Hours 24/06]]</f>
        <v>0</v>
      </c>
      <c r="K96" s="21"/>
      <c r="L96" s="21"/>
      <c r="M96" s="21"/>
      <c r="N96" s="21"/>
      <c r="Q96" s="50"/>
    </row>
    <row r="97" spans="1:17" ht="14.25" customHeight="1" x14ac:dyDescent="0.25">
      <c r="D97" s="35"/>
      <c r="E97" s="38"/>
      <c r="F97" s="36"/>
      <c r="G97" s="36"/>
      <c r="H97" s="36"/>
      <c r="I97" s="36"/>
      <c r="J97" s="36">
        <f>June[[#This Row],[Hours 03/06]]+June[[#This Row],[Hours 10/06]]+June[[#This Row],[Hours 17/06]]+June[[#This Row],[Hours 24/06]]</f>
        <v>0</v>
      </c>
      <c r="K97" s="21"/>
      <c r="L97" s="21"/>
      <c r="M97" s="21"/>
      <c r="N97" s="21"/>
      <c r="Q97" s="50"/>
    </row>
    <row r="98" spans="1:17" ht="14.25" customHeight="1" x14ac:dyDescent="0.25">
      <c r="D98" s="46"/>
      <c r="E98" s="47"/>
      <c r="F98" s="40"/>
      <c r="G98" s="40"/>
      <c r="H98" s="40"/>
      <c r="I98" s="40"/>
      <c r="J98" s="40">
        <f>June[[#This Row],[Hours 03/06]]+June[[#This Row],[Hours 10/06]]+June[[#This Row],[Hours 17/06]]+June[[#This Row],[Hours 24/06]]</f>
        <v>0</v>
      </c>
      <c r="K98" s="21"/>
      <c r="L98" s="21"/>
      <c r="M98" s="21"/>
      <c r="N98" s="21"/>
      <c r="Q98" s="50"/>
    </row>
    <row r="99" spans="1:17" ht="14.25" customHeight="1" x14ac:dyDescent="0.25">
      <c r="D99" s="35"/>
      <c r="E99" s="38"/>
      <c r="F99" s="36"/>
      <c r="G99" s="36"/>
      <c r="H99" s="36"/>
      <c r="I99" s="36"/>
      <c r="J99" s="36">
        <f>June[[#This Row],[Hours 03/06]]+June[[#This Row],[Hours 10/06]]+June[[#This Row],[Hours 17/06]]+June[[#This Row],[Hours 24/06]]</f>
        <v>0</v>
      </c>
      <c r="K99" s="21"/>
      <c r="L99" s="21"/>
      <c r="M99" s="21"/>
      <c r="N99" s="21"/>
      <c r="Q99" s="50"/>
    </row>
    <row r="100" spans="1:17" ht="14.25" customHeight="1" x14ac:dyDescent="0.25">
      <c r="D100" s="46"/>
      <c r="E100" s="47"/>
      <c r="F100" s="40"/>
      <c r="G100" s="40"/>
      <c r="H100" s="40"/>
      <c r="I100" s="40"/>
      <c r="J100" s="40">
        <f>June[[#This Row],[Hours 03/06]]+June[[#This Row],[Hours 10/06]]+June[[#This Row],[Hours 17/06]]+June[[#This Row],[Hours 24/06]]</f>
        <v>0</v>
      </c>
      <c r="K100" s="21"/>
      <c r="L100" s="21"/>
      <c r="M100" s="21"/>
      <c r="N100" s="21"/>
      <c r="Q100" s="50"/>
    </row>
    <row r="101" spans="1:17" ht="14.25" customHeight="1" x14ac:dyDescent="0.25">
      <c r="D101" s="35"/>
      <c r="E101" s="38"/>
      <c r="F101" s="36"/>
      <c r="G101" s="36"/>
      <c r="H101" s="36"/>
      <c r="I101" s="36"/>
      <c r="J101" s="36">
        <f>June[[#This Row],[Hours 03/06]]+June[[#This Row],[Hours 10/06]]+June[[#This Row],[Hours 17/06]]+June[[#This Row],[Hours 24/06]]</f>
        <v>0</v>
      </c>
      <c r="K101" s="21"/>
      <c r="L101" s="21"/>
      <c r="M101" s="21"/>
      <c r="N101" s="21"/>
      <c r="Q101" s="50"/>
    </row>
    <row r="102" spans="1:17" ht="14.25" customHeight="1" x14ac:dyDescent="0.25">
      <c r="D102" s="46"/>
      <c r="E102" s="47"/>
      <c r="F102" s="40"/>
      <c r="G102" s="40"/>
      <c r="H102" s="40"/>
      <c r="I102" s="40"/>
      <c r="J102" s="40">
        <f>June[[#This Row],[Hours 03/06]]+June[[#This Row],[Hours 10/06]]+June[[#This Row],[Hours 17/06]]+June[[#This Row],[Hours 24/06]]</f>
        <v>0</v>
      </c>
      <c r="K102" s="21"/>
      <c r="L102" s="21"/>
      <c r="M102" s="21"/>
      <c r="N102" s="21"/>
      <c r="Q102" s="50"/>
    </row>
    <row r="103" spans="1:17" ht="14.25" customHeight="1" x14ac:dyDescent="0.25">
      <c r="D103" s="35"/>
      <c r="E103" s="38"/>
      <c r="F103" s="36"/>
      <c r="G103" s="36"/>
      <c r="H103" s="36"/>
      <c r="I103" s="36"/>
      <c r="J103" s="36">
        <f>June[[#This Row],[Hours 03/06]]+June[[#This Row],[Hours 10/06]]+June[[#This Row],[Hours 17/06]]+June[[#This Row],[Hours 24/06]]</f>
        <v>0</v>
      </c>
      <c r="K103" s="21"/>
      <c r="L103" s="21"/>
      <c r="M103" s="21"/>
      <c r="N103" s="21"/>
      <c r="Q103" s="50"/>
    </row>
    <row r="104" spans="1:17" ht="14.25" customHeight="1" x14ac:dyDescent="0.25">
      <c r="D104" s="37"/>
      <c r="E104" s="16"/>
      <c r="F104" s="6"/>
      <c r="G104" s="6"/>
      <c r="H104" s="6"/>
      <c r="I104" s="6"/>
      <c r="J104" s="40">
        <f>June[[#This Row],[Hours 03/06]]+June[[#This Row],[Hours 10/06]]+June[[#This Row],[Hours 17/06]]+June[[#This Row],[Hours 24/06]]</f>
        <v>0</v>
      </c>
      <c r="K104" s="21"/>
      <c r="L104" s="21"/>
      <c r="M104" s="21"/>
      <c r="N104" s="21"/>
      <c r="Q104" s="50"/>
    </row>
    <row r="105" spans="1:17" ht="14.25" customHeight="1" x14ac:dyDescent="0.25">
      <c r="D105" s="35"/>
      <c r="E105" s="38"/>
      <c r="F105" s="36"/>
      <c r="G105" s="36"/>
      <c r="H105" s="36"/>
      <c r="I105" s="36"/>
      <c r="J105" s="36">
        <f>June[[#This Row],[Hours 03/06]]+June[[#This Row],[Hours 10/06]]+June[[#This Row],[Hours 17/06]]+June[[#This Row],[Hours 24/06]]</f>
        <v>0</v>
      </c>
      <c r="K105" s="21"/>
      <c r="L105" s="21"/>
      <c r="M105" s="21"/>
      <c r="N105" s="21"/>
      <c r="Q105" s="50"/>
    </row>
    <row r="106" spans="1:17" ht="14.25" customHeight="1" x14ac:dyDescent="0.25">
      <c r="D106" s="37"/>
      <c r="E106" s="16"/>
      <c r="F106" s="6"/>
      <c r="G106" s="6"/>
      <c r="H106" s="6"/>
      <c r="I106" s="6"/>
      <c r="J106" s="40">
        <f>June[[#This Row],[Hours 03/06]]+June[[#This Row],[Hours 10/06]]+June[[#This Row],[Hours 17/06]]+June[[#This Row],[Hours 24/06]]</f>
        <v>0</v>
      </c>
      <c r="K106" s="21"/>
      <c r="L106" s="21"/>
      <c r="M106" s="21"/>
      <c r="N106" s="21"/>
      <c r="Q106" s="50"/>
    </row>
    <row r="107" spans="1:17" ht="14.25" customHeight="1" x14ac:dyDescent="0.25">
      <c r="D107" s="35"/>
      <c r="E107" s="38"/>
      <c r="F107" s="36"/>
      <c r="G107" s="36"/>
      <c r="H107" s="36"/>
      <c r="I107" s="36"/>
      <c r="J107" s="36">
        <f>June[[#This Row],[Hours 03/06]]+June[[#This Row],[Hours 10/06]]+June[[#This Row],[Hours 17/06]]+June[[#This Row],[Hours 24/06]]</f>
        <v>0</v>
      </c>
      <c r="K107" s="21"/>
      <c r="L107" s="21"/>
      <c r="M107" s="21"/>
      <c r="N107" s="21"/>
      <c r="Q107" s="50"/>
    </row>
    <row r="108" spans="1:17" ht="14.25" customHeight="1" x14ac:dyDescent="0.25">
      <c r="D108" s="15" t="s">
        <v>5</v>
      </c>
      <c r="E108" s="16">
        <f t="shared" ref="E108:H108" si="0">SUM(E93:E107)</f>
        <v>0</v>
      </c>
      <c r="F108" s="6">
        <f t="shared" si="0"/>
        <v>0</v>
      </c>
      <c r="G108" s="6">
        <f t="shared" si="0"/>
        <v>0</v>
      </c>
      <c r="H108" s="6">
        <f t="shared" si="0"/>
        <v>0</v>
      </c>
      <c r="I108" s="6"/>
      <c r="J108" s="42">
        <f>SUM(June[Total])</f>
        <v>0</v>
      </c>
      <c r="K108" s="21"/>
      <c r="L108" s="21"/>
      <c r="M108" s="21"/>
      <c r="N108" s="21"/>
      <c r="Q108" s="50"/>
    </row>
    <row r="109" spans="1:17" ht="14.25" customHeight="1" x14ac:dyDescent="0.35">
      <c r="D109" s="11" t="s">
        <v>11</v>
      </c>
      <c r="E109" s="11"/>
      <c r="F109" s="11"/>
      <c r="G109" s="11"/>
      <c r="H109" s="11"/>
      <c r="I109" s="11"/>
      <c r="J109" s="11"/>
      <c r="K109" s="11"/>
      <c r="L109" s="11"/>
      <c r="M109" s="11"/>
      <c r="N109" s="11"/>
    </row>
    <row r="110" spans="1:17" x14ac:dyDescent="0.25">
      <c r="D110" s="12" t="s">
        <v>23</v>
      </c>
      <c r="E110" s="13" t="s">
        <v>95</v>
      </c>
      <c r="F110" s="13" t="s">
        <v>96</v>
      </c>
      <c r="G110" s="13" t="s">
        <v>97</v>
      </c>
      <c r="H110" s="13" t="s">
        <v>98</v>
      </c>
      <c r="I110" s="13" t="s">
        <v>99</v>
      </c>
      <c r="J110" s="14" t="s">
        <v>5</v>
      </c>
      <c r="K110" s="21"/>
      <c r="L110" s="21"/>
      <c r="M110" s="21"/>
      <c r="N110" s="21"/>
    </row>
    <row r="111" spans="1:17" x14ac:dyDescent="0.25">
      <c r="D111" s="35"/>
      <c r="E111" s="38"/>
      <c r="F111" s="36"/>
      <c r="G111" s="36"/>
      <c r="H111" s="36"/>
      <c r="I111" s="36"/>
      <c r="J111" s="36">
        <f>July[[#This Row],[Hours 01/07]]+July[[#This Row],[Hours 08/07]]+July[[#This Row],[Hours 15/07]]+July[[#This Row],[Hours 22/07]]+July[[#This Row],[Hours 29/07]]</f>
        <v>0</v>
      </c>
      <c r="K111" s="21"/>
      <c r="L111" s="21"/>
      <c r="M111" s="21"/>
      <c r="N111" s="21"/>
    </row>
    <row r="112" spans="1:17" s="34" customFormat="1" x14ac:dyDescent="0.25">
      <c r="A112" s="33"/>
      <c r="B112" s="33"/>
      <c r="C112" s="33"/>
      <c r="D112" s="37"/>
      <c r="E112" s="16"/>
      <c r="F112" s="6"/>
      <c r="G112" s="6"/>
      <c r="H112" s="6"/>
      <c r="I112" s="6"/>
      <c r="J112" s="40">
        <f>July[[#This Row],[Hours 01/07]]+July[[#This Row],[Hours 08/07]]+July[[#This Row],[Hours 15/07]]+July[[#This Row],[Hours 22/07]]+July[[#This Row],[Hours 29/07]]</f>
        <v>0</v>
      </c>
      <c r="K112" s="33"/>
      <c r="L112" s="33"/>
      <c r="M112" s="33"/>
      <c r="N112" s="33"/>
      <c r="P112" s="51"/>
    </row>
    <row r="113" spans="1:17" s="34" customFormat="1" x14ac:dyDescent="0.25">
      <c r="A113" s="33"/>
      <c r="B113" s="33"/>
      <c r="C113" s="33"/>
      <c r="D113" s="35"/>
      <c r="E113" s="38"/>
      <c r="F113" s="36"/>
      <c r="G113" s="36"/>
      <c r="H113" s="36"/>
      <c r="I113" s="36"/>
      <c r="J113" s="36">
        <f>July[[#This Row],[Hours 01/07]]+July[[#This Row],[Hours 08/07]]+July[[#This Row],[Hours 15/07]]+July[[#This Row],[Hours 22/07]]+July[[#This Row],[Hours 29/07]]</f>
        <v>0</v>
      </c>
      <c r="K113" s="33"/>
      <c r="L113" s="33"/>
      <c r="M113" s="33"/>
      <c r="N113" s="33"/>
      <c r="P113" s="51"/>
    </row>
    <row r="114" spans="1:17" s="34" customFormat="1" x14ac:dyDescent="0.25">
      <c r="A114" s="33"/>
      <c r="B114" s="33"/>
      <c r="C114" s="33"/>
      <c r="D114" s="46"/>
      <c r="E114" s="47"/>
      <c r="F114" s="40"/>
      <c r="G114" s="40"/>
      <c r="H114" s="40"/>
      <c r="I114" s="40"/>
      <c r="J114" s="40">
        <f>July[[#This Row],[Hours 01/07]]+July[[#This Row],[Hours 08/07]]+July[[#This Row],[Hours 15/07]]+July[[#This Row],[Hours 22/07]]+July[[#This Row],[Hours 29/07]]</f>
        <v>0</v>
      </c>
      <c r="K114" s="33"/>
      <c r="L114" s="33"/>
      <c r="M114" s="33"/>
      <c r="N114" s="33"/>
      <c r="P114" s="51"/>
    </row>
    <row r="115" spans="1:17" s="34" customFormat="1" x14ac:dyDescent="0.25">
      <c r="A115" s="33"/>
      <c r="B115" s="33"/>
      <c r="C115" s="33"/>
      <c r="D115" s="35"/>
      <c r="E115" s="38"/>
      <c r="F115" s="36"/>
      <c r="G115" s="36"/>
      <c r="H115" s="36"/>
      <c r="I115" s="36"/>
      <c r="J115" s="36">
        <f>July[[#This Row],[Hours 01/07]]+July[[#This Row],[Hours 08/07]]+July[[#This Row],[Hours 15/07]]+July[[#This Row],[Hours 22/07]]+July[[#This Row],[Hours 29/07]]</f>
        <v>0</v>
      </c>
      <c r="K115" s="33"/>
      <c r="L115" s="33"/>
      <c r="M115" s="33"/>
      <c r="N115" s="33"/>
      <c r="P115" s="51"/>
    </row>
    <row r="116" spans="1:17" s="34" customFormat="1" x14ac:dyDescent="0.25">
      <c r="A116" s="33"/>
      <c r="B116" s="33"/>
      <c r="C116" s="33"/>
      <c r="D116" s="46"/>
      <c r="E116" s="47"/>
      <c r="F116" s="40"/>
      <c r="G116" s="40"/>
      <c r="H116" s="40"/>
      <c r="I116" s="40"/>
      <c r="J116" s="40">
        <f>July[[#This Row],[Hours 01/07]]+July[[#This Row],[Hours 08/07]]+July[[#This Row],[Hours 15/07]]+July[[#This Row],[Hours 22/07]]+July[[#This Row],[Hours 29/07]]</f>
        <v>0</v>
      </c>
      <c r="K116" s="33"/>
      <c r="L116" s="33"/>
      <c r="M116" s="33"/>
      <c r="N116" s="33"/>
      <c r="P116" s="51"/>
    </row>
    <row r="117" spans="1:17" s="34" customFormat="1" x14ac:dyDescent="0.25">
      <c r="A117" s="33"/>
      <c r="B117" s="33"/>
      <c r="C117" s="33"/>
      <c r="D117" s="35"/>
      <c r="E117" s="38"/>
      <c r="F117" s="36"/>
      <c r="G117" s="36"/>
      <c r="H117" s="36"/>
      <c r="I117" s="36"/>
      <c r="J117" s="36">
        <f>July[[#This Row],[Hours 01/07]]+July[[#This Row],[Hours 08/07]]+July[[#This Row],[Hours 15/07]]+July[[#This Row],[Hours 22/07]]+July[[#This Row],[Hours 29/07]]</f>
        <v>0</v>
      </c>
      <c r="K117" s="33"/>
      <c r="L117" s="33"/>
      <c r="M117" s="33"/>
      <c r="N117" s="33"/>
      <c r="P117" s="51"/>
    </row>
    <row r="118" spans="1:17" s="34" customFormat="1" x14ac:dyDescent="0.25">
      <c r="A118" s="33"/>
      <c r="B118" s="33"/>
      <c r="C118" s="33"/>
      <c r="D118" s="46"/>
      <c r="E118" s="47"/>
      <c r="F118" s="40"/>
      <c r="G118" s="40"/>
      <c r="H118" s="40"/>
      <c r="I118" s="40"/>
      <c r="J118" s="40">
        <f>July[[#This Row],[Hours 01/07]]+July[[#This Row],[Hours 08/07]]+July[[#This Row],[Hours 15/07]]+July[[#This Row],[Hours 22/07]]+July[[#This Row],[Hours 29/07]]</f>
        <v>0</v>
      </c>
      <c r="K118" s="33"/>
      <c r="L118" s="33"/>
      <c r="M118" s="33"/>
      <c r="N118" s="33"/>
      <c r="P118" s="51"/>
    </row>
    <row r="119" spans="1:17" s="34" customFormat="1" x14ac:dyDescent="0.25">
      <c r="A119" s="33"/>
      <c r="B119" s="33"/>
      <c r="C119" s="33"/>
      <c r="D119" s="35"/>
      <c r="E119" s="38"/>
      <c r="F119" s="36"/>
      <c r="G119" s="36"/>
      <c r="H119" s="36"/>
      <c r="I119" s="36"/>
      <c r="J119" s="36">
        <f>July[[#This Row],[Hours 01/07]]+July[[#This Row],[Hours 08/07]]+July[[#This Row],[Hours 15/07]]+July[[#This Row],[Hours 22/07]]+July[[#This Row],[Hours 29/07]]</f>
        <v>0</v>
      </c>
      <c r="K119" s="33"/>
      <c r="L119" s="33"/>
      <c r="M119" s="33"/>
      <c r="N119" s="33"/>
      <c r="P119" s="51"/>
    </row>
    <row r="120" spans="1:17" ht="14.25" customHeight="1" x14ac:dyDescent="0.25">
      <c r="D120" s="46"/>
      <c r="E120" s="47"/>
      <c r="F120" s="40"/>
      <c r="G120" s="40"/>
      <c r="H120" s="40"/>
      <c r="I120" s="40"/>
      <c r="J120" s="40">
        <f>July[[#This Row],[Hours 01/07]]+July[[#This Row],[Hours 08/07]]+July[[#This Row],[Hours 15/07]]+July[[#This Row],[Hours 22/07]]+July[[#This Row],[Hours 29/07]]</f>
        <v>0</v>
      </c>
      <c r="K120" s="21"/>
      <c r="L120" s="21"/>
      <c r="M120" s="21"/>
      <c r="N120" s="21"/>
    </row>
    <row r="121" spans="1:17" ht="14.25" customHeight="1" x14ac:dyDescent="0.25">
      <c r="D121" s="37"/>
      <c r="E121" s="16"/>
      <c r="F121" s="6"/>
      <c r="G121" s="6"/>
      <c r="H121" s="6"/>
      <c r="I121" s="6"/>
      <c r="J121" s="36">
        <f>July[[#This Row],[Hours 01/07]]+July[[#This Row],[Hours 08/07]]+July[[#This Row],[Hours 15/07]]+July[[#This Row],[Hours 22/07]]+July[[#This Row],[Hours 29/07]]</f>
        <v>0</v>
      </c>
      <c r="K121" s="21"/>
      <c r="L121" s="21"/>
      <c r="M121" s="21"/>
      <c r="N121" s="21"/>
    </row>
    <row r="122" spans="1:17" ht="14.25" customHeight="1" x14ac:dyDescent="0.25">
      <c r="D122" s="46"/>
      <c r="E122" s="47"/>
      <c r="F122" s="40"/>
      <c r="G122" s="40"/>
      <c r="H122" s="40"/>
      <c r="I122" s="40"/>
      <c r="J122" s="40">
        <f>July[[#This Row],[Hours 01/07]]+July[[#This Row],[Hours 08/07]]+July[[#This Row],[Hours 15/07]]+July[[#This Row],[Hours 22/07]]+July[[#This Row],[Hours 29/07]]</f>
        <v>0</v>
      </c>
      <c r="K122" s="21"/>
      <c r="L122" s="21"/>
      <c r="M122" s="21"/>
      <c r="N122" s="21"/>
    </row>
    <row r="123" spans="1:17" ht="14.25" customHeight="1" x14ac:dyDescent="0.25">
      <c r="D123" s="37"/>
      <c r="E123" s="16"/>
      <c r="F123" s="6"/>
      <c r="G123" s="6"/>
      <c r="H123" s="6"/>
      <c r="I123" s="6"/>
      <c r="J123" s="36">
        <f>July[[#This Row],[Hours 01/07]]+July[[#This Row],[Hours 08/07]]+July[[#This Row],[Hours 15/07]]+July[[#This Row],[Hours 22/07]]+July[[#This Row],[Hours 29/07]]</f>
        <v>0</v>
      </c>
      <c r="K123" s="21"/>
      <c r="L123" s="21"/>
      <c r="M123" s="21"/>
      <c r="N123" s="21"/>
    </row>
    <row r="124" spans="1:17" ht="14.25" customHeight="1" x14ac:dyDescent="0.25">
      <c r="D124" s="46"/>
      <c r="E124" s="47"/>
      <c r="F124" s="40"/>
      <c r="G124" s="40"/>
      <c r="H124" s="40"/>
      <c r="I124" s="40"/>
      <c r="J124" s="40">
        <f>July[[#This Row],[Hours 01/07]]+July[[#This Row],[Hours 08/07]]+July[[#This Row],[Hours 15/07]]+July[[#This Row],[Hours 22/07]]+July[[#This Row],[Hours 29/07]]</f>
        <v>0</v>
      </c>
      <c r="K124" s="21"/>
      <c r="L124" s="21"/>
      <c r="M124" s="21"/>
      <c r="N124" s="21"/>
    </row>
    <row r="125" spans="1:17" ht="14.25" customHeight="1" x14ac:dyDescent="0.25">
      <c r="D125" s="35"/>
      <c r="E125" s="38"/>
      <c r="F125" s="36"/>
      <c r="G125" s="36"/>
      <c r="H125" s="36"/>
      <c r="I125" s="36"/>
      <c r="J125" s="36">
        <f>July[[#This Row],[Hours 01/07]]+July[[#This Row],[Hours 08/07]]+July[[#This Row],[Hours 15/07]]+July[[#This Row],[Hours 22/07]]+July[[#This Row],[Hours 29/07]]</f>
        <v>0</v>
      </c>
      <c r="K125" s="21"/>
      <c r="L125" s="21"/>
      <c r="M125" s="21"/>
      <c r="N125" s="21"/>
    </row>
    <row r="126" spans="1:17" ht="14.25" customHeight="1" x14ac:dyDescent="0.25">
      <c r="D126" s="15" t="s">
        <v>5</v>
      </c>
      <c r="E126" s="16">
        <f t="shared" ref="E126:I126" si="1">SUM(E111:E125)</f>
        <v>0</v>
      </c>
      <c r="F126" s="6">
        <f t="shared" si="1"/>
        <v>0</v>
      </c>
      <c r="G126" s="6">
        <f t="shared" si="1"/>
        <v>0</v>
      </c>
      <c r="H126" s="6">
        <f t="shared" si="1"/>
        <v>0</v>
      </c>
      <c r="I126" s="6">
        <f t="shared" si="1"/>
        <v>0</v>
      </c>
      <c r="J126" s="42">
        <f>SUM(July[Total])</f>
        <v>0</v>
      </c>
      <c r="K126" s="21"/>
      <c r="L126" s="21"/>
      <c r="M126" s="21"/>
      <c r="N126" s="21"/>
    </row>
    <row r="127" spans="1:17" ht="14.25" customHeight="1" x14ac:dyDescent="0.35">
      <c r="D127" s="11" t="s">
        <v>12</v>
      </c>
    </row>
    <row r="128" spans="1:17" x14ac:dyDescent="0.25">
      <c r="D128" s="12" t="s">
        <v>23</v>
      </c>
      <c r="E128" s="13" t="s">
        <v>100</v>
      </c>
      <c r="F128" s="13" t="s">
        <v>101</v>
      </c>
      <c r="G128" s="13" t="s">
        <v>102</v>
      </c>
      <c r="H128" s="13" t="s">
        <v>103</v>
      </c>
      <c r="I128" s="13" t="s">
        <v>125</v>
      </c>
      <c r="J128" s="14" t="s">
        <v>5</v>
      </c>
      <c r="K128" s="33"/>
      <c r="L128" s="33"/>
      <c r="M128" s="21"/>
      <c r="N128" s="21"/>
      <c r="Q128" s="50"/>
    </row>
    <row r="129" spans="1:17" x14ac:dyDescent="0.25">
      <c r="D129" s="35"/>
      <c r="E129" s="38"/>
      <c r="F129" s="36"/>
      <c r="G129" s="36"/>
      <c r="H129" s="36"/>
      <c r="I129" s="36"/>
      <c r="J129" s="36">
        <f>August[[#This Row],[Hours 05/08]]+August[[#This Row],[Hours 12/08]]+August[[#This Row],[Hours 19/08]]+August[[#This Row],[Hours 26/08]]</f>
        <v>0</v>
      </c>
      <c r="K129" s="21"/>
      <c r="L129" s="21"/>
      <c r="M129" s="21"/>
      <c r="N129" s="21"/>
      <c r="Q129" s="50"/>
    </row>
    <row r="130" spans="1:17" s="34" customFormat="1" x14ac:dyDescent="0.25">
      <c r="A130" s="33"/>
      <c r="B130" s="33"/>
      <c r="C130" s="33"/>
      <c r="D130" s="37"/>
      <c r="E130" s="16"/>
      <c r="F130" s="6"/>
      <c r="G130" s="6"/>
      <c r="H130" s="6"/>
      <c r="I130" s="6"/>
      <c r="J130" s="6">
        <f>August[[#This Row],[Hours 05/08]]+August[[#This Row],[Hours 12/08]]+August[[#This Row],[Hours 19/08]]+August[[#This Row],[Hours 26/08]]</f>
        <v>0</v>
      </c>
      <c r="K130" s="21"/>
      <c r="L130" s="21"/>
      <c r="M130" s="33"/>
      <c r="N130" s="33"/>
      <c r="P130" s="51"/>
      <c r="Q130" s="51"/>
    </row>
    <row r="131" spans="1:17" ht="14.25" customHeight="1" x14ac:dyDescent="0.25">
      <c r="D131" s="35"/>
      <c r="E131" s="38"/>
      <c r="F131" s="36"/>
      <c r="G131" s="36"/>
      <c r="H131" s="36"/>
      <c r="I131" s="36"/>
      <c r="J131" s="36">
        <f>August[[#This Row],[Hours 05/08]]+August[[#This Row],[Hours 12/08]]+August[[#This Row],[Hours 19/08]]+August[[#This Row],[Hours 26/08]]</f>
        <v>0</v>
      </c>
      <c r="K131" s="21"/>
      <c r="L131" s="21"/>
      <c r="M131" s="21"/>
      <c r="N131" s="21"/>
      <c r="Q131" s="50"/>
    </row>
    <row r="132" spans="1:17" ht="14.25" customHeight="1" x14ac:dyDescent="0.25">
      <c r="D132" s="46"/>
      <c r="E132" s="47"/>
      <c r="F132" s="40"/>
      <c r="G132" s="40"/>
      <c r="H132" s="40"/>
      <c r="I132" s="40"/>
      <c r="J132" s="40">
        <f>August[[#This Row],[Hours 05/08]]+August[[#This Row],[Hours 12/08]]+August[[#This Row],[Hours 19/08]]+August[[#This Row],[Hours 26/08]]</f>
        <v>0</v>
      </c>
      <c r="K132" s="21"/>
      <c r="L132" s="21"/>
      <c r="M132" s="21"/>
      <c r="N132" s="21"/>
      <c r="Q132" s="50"/>
    </row>
    <row r="133" spans="1:17" ht="14.25" customHeight="1" x14ac:dyDescent="0.25">
      <c r="D133" s="35"/>
      <c r="E133" s="38"/>
      <c r="F133" s="36"/>
      <c r="G133" s="36"/>
      <c r="H133" s="36"/>
      <c r="I133" s="36"/>
      <c r="J133" s="36">
        <f>August[[#This Row],[Hours 05/08]]+August[[#This Row],[Hours 12/08]]+August[[#This Row],[Hours 19/08]]+August[[#This Row],[Hours 26/08]]</f>
        <v>0</v>
      </c>
      <c r="K133" s="21"/>
      <c r="L133" s="21"/>
      <c r="M133" s="21"/>
      <c r="N133" s="21"/>
      <c r="Q133" s="50"/>
    </row>
    <row r="134" spans="1:17" ht="14.25" customHeight="1" x14ac:dyDescent="0.25">
      <c r="D134" s="46"/>
      <c r="E134" s="47"/>
      <c r="F134" s="40"/>
      <c r="G134" s="40"/>
      <c r="H134" s="40"/>
      <c r="I134" s="40"/>
      <c r="J134" s="40">
        <f>August[[#This Row],[Hours 05/08]]+August[[#This Row],[Hours 12/08]]+August[[#This Row],[Hours 19/08]]+August[[#This Row],[Hours 26/08]]</f>
        <v>0</v>
      </c>
      <c r="K134" s="21"/>
      <c r="L134" s="21"/>
      <c r="M134" s="21"/>
      <c r="N134" s="21"/>
      <c r="Q134" s="50"/>
    </row>
    <row r="135" spans="1:17" ht="14.25" customHeight="1" x14ac:dyDescent="0.25">
      <c r="D135" s="35"/>
      <c r="E135" s="38"/>
      <c r="F135" s="36"/>
      <c r="G135" s="36"/>
      <c r="H135" s="36"/>
      <c r="I135" s="36"/>
      <c r="J135" s="36">
        <f>August[[#This Row],[Hours 05/08]]+August[[#This Row],[Hours 12/08]]+August[[#This Row],[Hours 19/08]]+August[[#This Row],[Hours 26/08]]</f>
        <v>0</v>
      </c>
      <c r="K135" s="21"/>
      <c r="L135" s="21"/>
      <c r="M135" s="21"/>
      <c r="N135" s="21"/>
      <c r="Q135" s="50"/>
    </row>
    <row r="136" spans="1:17" ht="14.25" customHeight="1" x14ac:dyDescent="0.25">
      <c r="D136" s="46"/>
      <c r="E136" s="47"/>
      <c r="F136" s="40"/>
      <c r="G136" s="40"/>
      <c r="H136" s="40"/>
      <c r="I136" s="40"/>
      <c r="J136" s="40">
        <f>August[[#This Row],[Hours 05/08]]+August[[#This Row],[Hours 12/08]]+August[[#This Row],[Hours 19/08]]+August[[#This Row],[Hours 26/08]]</f>
        <v>0</v>
      </c>
      <c r="K136" s="21"/>
      <c r="L136" s="21"/>
      <c r="M136" s="21"/>
      <c r="N136" s="21"/>
      <c r="Q136" s="50"/>
    </row>
    <row r="137" spans="1:17" ht="14.25" customHeight="1" x14ac:dyDescent="0.25">
      <c r="D137" s="35"/>
      <c r="E137" s="38"/>
      <c r="F137" s="36"/>
      <c r="G137" s="36"/>
      <c r="H137" s="36"/>
      <c r="I137" s="36"/>
      <c r="J137" s="36">
        <f>August[[#This Row],[Hours 05/08]]+August[[#This Row],[Hours 12/08]]+August[[#This Row],[Hours 19/08]]+August[[#This Row],[Hours 26/08]]</f>
        <v>0</v>
      </c>
      <c r="K137" s="21"/>
      <c r="L137" s="21"/>
      <c r="M137" s="21"/>
      <c r="N137" s="21"/>
      <c r="Q137" s="50"/>
    </row>
    <row r="138" spans="1:17" ht="14.25" customHeight="1" x14ac:dyDescent="0.25">
      <c r="D138" s="46"/>
      <c r="E138" s="47"/>
      <c r="F138" s="40"/>
      <c r="G138" s="40"/>
      <c r="H138" s="40"/>
      <c r="I138" s="40"/>
      <c r="J138" s="40">
        <f>August[[#This Row],[Hours 05/08]]+August[[#This Row],[Hours 12/08]]+August[[#This Row],[Hours 19/08]]+August[[#This Row],[Hours 26/08]]</f>
        <v>0</v>
      </c>
      <c r="K138" s="21"/>
      <c r="L138" s="21"/>
      <c r="M138" s="21"/>
      <c r="N138" s="21"/>
      <c r="Q138" s="50"/>
    </row>
    <row r="139" spans="1:17" ht="14.25" customHeight="1" x14ac:dyDescent="0.25">
      <c r="D139" s="35"/>
      <c r="E139" s="38"/>
      <c r="F139" s="36"/>
      <c r="G139" s="36"/>
      <c r="H139" s="36"/>
      <c r="I139" s="36"/>
      <c r="J139" s="36">
        <f>August[[#This Row],[Hours 05/08]]+August[[#This Row],[Hours 12/08]]+August[[#This Row],[Hours 19/08]]+August[[#This Row],[Hours 26/08]]</f>
        <v>0</v>
      </c>
      <c r="K139" s="21"/>
      <c r="L139" s="21"/>
      <c r="M139" s="21"/>
      <c r="N139" s="21"/>
      <c r="Q139" s="50"/>
    </row>
    <row r="140" spans="1:17" ht="14.25" customHeight="1" x14ac:dyDescent="0.25">
      <c r="D140" s="37"/>
      <c r="E140" s="16"/>
      <c r="F140" s="6"/>
      <c r="G140" s="6"/>
      <c r="H140" s="6"/>
      <c r="I140" s="6"/>
      <c r="J140" s="6">
        <f>August[[#This Row],[Hours 05/08]]+August[[#This Row],[Hours 12/08]]+August[[#This Row],[Hours 19/08]]+August[[#This Row],[Hours 26/08]]</f>
        <v>0</v>
      </c>
      <c r="K140" s="21"/>
      <c r="L140" s="21"/>
      <c r="M140" s="21"/>
      <c r="N140" s="21"/>
      <c r="Q140" s="50"/>
    </row>
    <row r="141" spans="1:17" ht="14.25" customHeight="1" x14ac:dyDescent="0.25">
      <c r="D141" s="35"/>
      <c r="E141" s="38"/>
      <c r="F141" s="36"/>
      <c r="G141" s="36"/>
      <c r="H141" s="36"/>
      <c r="I141" s="36"/>
      <c r="J141" s="36">
        <f>August[[#This Row],[Hours 05/08]]+August[[#This Row],[Hours 12/08]]+August[[#This Row],[Hours 19/08]]+August[[#This Row],[Hours 26/08]]</f>
        <v>0</v>
      </c>
      <c r="K141" s="21"/>
      <c r="L141" s="21"/>
      <c r="M141" s="21"/>
      <c r="N141" s="21"/>
      <c r="Q141" s="50"/>
    </row>
    <row r="142" spans="1:17" ht="14.25" customHeight="1" x14ac:dyDescent="0.25">
      <c r="D142" s="37"/>
      <c r="E142" s="16"/>
      <c r="F142" s="6"/>
      <c r="G142" s="6"/>
      <c r="H142" s="6"/>
      <c r="I142" s="6"/>
      <c r="J142" s="6">
        <f>August[[#This Row],[Hours 05/08]]+August[[#This Row],[Hours 12/08]]+August[[#This Row],[Hours 19/08]]+August[[#This Row],[Hours 26/08]]</f>
        <v>0</v>
      </c>
      <c r="K142" s="21"/>
      <c r="L142" s="21"/>
      <c r="M142" s="21"/>
      <c r="N142" s="21"/>
      <c r="Q142" s="50"/>
    </row>
    <row r="143" spans="1:17" ht="14.25" customHeight="1" x14ac:dyDescent="0.25">
      <c r="D143" s="35"/>
      <c r="E143" s="38"/>
      <c r="F143" s="36"/>
      <c r="G143" s="36"/>
      <c r="H143" s="36"/>
      <c r="I143" s="36"/>
      <c r="J143" s="36">
        <f>August[[#This Row],[Hours 05/08]]+August[[#This Row],[Hours 12/08]]+August[[#This Row],[Hours 19/08]]+August[[#This Row],[Hours 26/08]]</f>
        <v>0</v>
      </c>
      <c r="K143" s="21"/>
      <c r="L143" s="21"/>
      <c r="M143" s="21"/>
      <c r="N143" s="21"/>
      <c r="Q143" s="50"/>
    </row>
    <row r="144" spans="1:17" ht="14.25" customHeight="1" x14ac:dyDescent="0.25">
      <c r="D144" s="15" t="s">
        <v>5</v>
      </c>
      <c r="E144" s="16">
        <f>SUBTOTAL(109,August[Hours 05/08])</f>
        <v>0</v>
      </c>
      <c r="F144" s="16">
        <f>SUBTOTAL(109,August[Hours 12/08])</f>
        <v>0</v>
      </c>
      <c r="G144" s="16">
        <f>SUBTOTAL(109,August[Hours 19/08])</f>
        <v>0</v>
      </c>
      <c r="H144" s="16">
        <f>SUBTOTAL(109,August[Hours 26/08])</f>
        <v>0</v>
      </c>
      <c r="I144" s="16"/>
      <c r="J144" s="43">
        <f>SUM(August[Total])</f>
        <v>0</v>
      </c>
      <c r="K144" s="21"/>
      <c r="L144" s="21"/>
      <c r="M144" s="21"/>
      <c r="N144" s="21"/>
      <c r="Q144" s="50"/>
    </row>
    <row r="145" spans="4:14" ht="14.25" customHeight="1" x14ac:dyDescent="0.35">
      <c r="D145" s="11" t="s">
        <v>13</v>
      </c>
    </row>
    <row r="146" spans="4:14" x14ac:dyDescent="0.25">
      <c r="D146" s="12" t="s">
        <v>23</v>
      </c>
      <c r="E146" s="13" t="s">
        <v>104</v>
      </c>
      <c r="F146" s="13" t="s">
        <v>105</v>
      </c>
      <c r="G146" s="13" t="s">
        <v>106</v>
      </c>
      <c r="H146" s="13" t="s">
        <v>107</v>
      </c>
      <c r="I146" s="13" t="s">
        <v>108</v>
      </c>
      <c r="J146" s="14" t="s">
        <v>5</v>
      </c>
      <c r="K146" s="21"/>
      <c r="L146" s="21"/>
      <c r="M146" s="21"/>
      <c r="N146" s="21"/>
    </row>
    <row r="147" spans="4:14" x14ac:dyDescent="0.25">
      <c r="D147" s="45"/>
      <c r="E147" s="38"/>
      <c r="F147" s="36"/>
      <c r="G147" s="36"/>
      <c r="H147" s="36"/>
      <c r="I147" s="36"/>
      <c r="J147" s="36">
        <f>September[[#This Row],[Hours 02/09]]+September[[#This Row],[Hours 09/09]]+September[[#This Row],[Hours 16/09]]+September[[#This Row],[Hours 23/09]]+September[[#This Row],[Hours 30/09]]</f>
        <v>0</v>
      </c>
      <c r="K147" s="21"/>
      <c r="L147" s="21"/>
      <c r="M147" s="21"/>
      <c r="N147" s="21"/>
    </row>
    <row r="148" spans="4:14" x14ac:dyDescent="0.25">
      <c r="D148" s="37"/>
      <c r="E148" s="16"/>
      <c r="F148" s="6"/>
      <c r="G148" s="6"/>
      <c r="H148" s="6"/>
      <c r="I148" s="6"/>
      <c r="J148" s="6">
        <f>September[[#This Row],[Hours 02/09]]+September[[#This Row],[Hours 09/09]]+September[[#This Row],[Hours 16/09]]+September[[#This Row],[Hours 23/09]]+September[[#This Row],[Hours 30/09]]</f>
        <v>0</v>
      </c>
      <c r="K148" s="21"/>
      <c r="L148" s="21"/>
      <c r="M148" s="21"/>
      <c r="N148" s="21"/>
    </row>
    <row r="149" spans="4:14" x14ac:dyDescent="0.25">
      <c r="D149" s="35"/>
      <c r="E149" s="38"/>
      <c r="F149" s="36"/>
      <c r="G149" s="36"/>
      <c r="H149" s="36"/>
      <c r="I149" s="36"/>
      <c r="J149" s="36">
        <f>September[[#This Row],[Hours 02/09]]+September[[#This Row],[Hours 09/09]]+September[[#This Row],[Hours 16/09]]+September[[#This Row],[Hours 23/09]]+September[[#This Row],[Hours 30/09]]</f>
        <v>0</v>
      </c>
      <c r="K149" s="21"/>
      <c r="L149" s="21"/>
      <c r="M149" s="21"/>
      <c r="N149" s="21"/>
    </row>
    <row r="150" spans="4:14" x14ac:dyDescent="0.25">
      <c r="D150" s="46"/>
      <c r="E150" s="16"/>
      <c r="F150" s="6"/>
      <c r="G150" s="6"/>
      <c r="H150" s="6"/>
      <c r="I150" s="40"/>
      <c r="J150" s="6">
        <f>September[[#This Row],[Hours 02/09]]+September[[#This Row],[Hours 09/09]]+September[[#This Row],[Hours 16/09]]+September[[#This Row],[Hours 23/09]]+September[[#This Row],[Hours 30/09]]</f>
        <v>0</v>
      </c>
      <c r="K150" s="21"/>
      <c r="L150" s="21"/>
      <c r="M150" s="21"/>
      <c r="N150" s="21"/>
    </row>
    <row r="151" spans="4:14" ht="14.25" customHeight="1" x14ac:dyDescent="0.25">
      <c r="D151" s="35"/>
      <c r="E151" s="38"/>
      <c r="F151" s="36"/>
      <c r="G151" s="36"/>
      <c r="H151" s="36"/>
      <c r="I151" s="36"/>
      <c r="J151" s="36">
        <f>September[[#This Row],[Hours 02/09]]+September[[#This Row],[Hours 09/09]]+September[[#This Row],[Hours 16/09]]+September[[#This Row],[Hours 23/09]]+September[[#This Row],[Hours 30/09]]</f>
        <v>0</v>
      </c>
      <c r="K151" s="21"/>
      <c r="L151" s="21"/>
      <c r="M151" s="21"/>
      <c r="N151" s="21"/>
    </row>
    <row r="152" spans="4:14" ht="14.25" customHeight="1" x14ac:dyDescent="0.25">
      <c r="D152" s="37"/>
      <c r="E152" s="16"/>
      <c r="F152" s="6"/>
      <c r="G152" s="6"/>
      <c r="H152" s="6"/>
      <c r="I152" s="6"/>
      <c r="J152" s="6">
        <f>September[[#This Row],[Hours 02/09]]+September[[#This Row],[Hours 09/09]]+September[[#This Row],[Hours 16/09]]+September[[#This Row],[Hours 23/09]]+September[[#This Row],[Hours 30/09]]</f>
        <v>0</v>
      </c>
      <c r="K152" s="21"/>
      <c r="L152" s="21"/>
      <c r="M152" s="21"/>
      <c r="N152" s="21"/>
    </row>
    <row r="153" spans="4:14" ht="14.25" customHeight="1" x14ac:dyDescent="0.25">
      <c r="D153" s="35"/>
      <c r="E153" s="38"/>
      <c r="F153" s="36"/>
      <c r="G153" s="36"/>
      <c r="H153" s="36"/>
      <c r="I153" s="36"/>
      <c r="J153" s="36">
        <f>September[[#This Row],[Hours 02/09]]+September[[#This Row],[Hours 09/09]]+September[[#This Row],[Hours 16/09]]+September[[#This Row],[Hours 23/09]]+September[[#This Row],[Hours 30/09]]</f>
        <v>0</v>
      </c>
      <c r="K153" s="21"/>
      <c r="L153" s="21"/>
      <c r="M153" s="21"/>
      <c r="N153" s="21"/>
    </row>
    <row r="154" spans="4:14" ht="14.25" customHeight="1" x14ac:dyDescent="0.25">
      <c r="D154" s="37"/>
      <c r="E154" s="16"/>
      <c r="F154" s="6"/>
      <c r="G154" s="6"/>
      <c r="H154" s="6"/>
      <c r="I154" s="6"/>
      <c r="J154" s="6">
        <f>September[[#This Row],[Hours 02/09]]+September[[#This Row],[Hours 09/09]]+September[[#This Row],[Hours 16/09]]+September[[#This Row],[Hours 23/09]]+September[[#This Row],[Hours 30/09]]</f>
        <v>0</v>
      </c>
      <c r="K154" s="21"/>
      <c r="L154" s="21"/>
      <c r="M154" s="21"/>
      <c r="N154" s="21"/>
    </row>
    <row r="155" spans="4:14" ht="14.25" customHeight="1" x14ac:dyDescent="0.25">
      <c r="D155" s="35"/>
      <c r="E155" s="38"/>
      <c r="F155" s="36"/>
      <c r="G155" s="36"/>
      <c r="H155" s="36"/>
      <c r="I155" s="36"/>
      <c r="J155" s="36">
        <f>September[[#This Row],[Hours 02/09]]+September[[#This Row],[Hours 09/09]]+September[[#This Row],[Hours 16/09]]+September[[#This Row],[Hours 23/09]]+September[[#This Row],[Hours 30/09]]</f>
        <v>0</v>
      </c>
      <c r="K155" s="21"/>
      <c r="L155" s="21"/>
      <c r="M155" s="21"/>
      <c r="N155" s="21"/>
    </row>
    <row r="156" spans="4:14" ht="14.25" customHeight="1" x14ac:dyDescent="0.25">
      <c r="D156" s="46"/>
      <c r="E156" s="16"/>
      <c r="F156" s="6"/>
      <c r="G156" s="6"/>
      <c r="H156" s="6"/>
      <c r="I156" s="40"/>
      <c r="J156" s="6">
        <f>September[[#This Row],[Hours 02/09]]+September[[#This Row],[Hours 09/09]]+September[[#This Row],[Hours 16/09]]+September[[#This Row],[Hours 23/09]]+September[[#This Row],[Hours 30/09]]</f>
        <v>0</v>
      </c>
      <c r="K156" s="21"/>
      <c r="L156" s="21"/>
      <c r="M156" s="21"/>
      <c r="N156" s="21"/>
    </row>
    <row r="157" spans="4:14" ht="14.25" customHeight="1" x14ac:dyDescent="0.25">
      <c r="D157" s="35"/>
      <c r="E157" s="38"/>
      <c r="F157" s="36"/>
      <c r="G157" s="36"/>
      <c r="H157" s="36"/>
      <c r="I157" s="36"/>
      <c r="J157" s="36">
        <f>September[[#This Row],[Hours 02/09]]+September[[#This Row],[Hours 09/09]]+September[[#This Row],[Hours 16/09]]+September[[#This Row],[Hours 23/09]]+September[[#This Row],[Hours 30/09]]</f>
        <v>0</v>
      </c>
      <c r="K157" s="21"/>
      <c r="L157" s="21"/>
      <c r="M157" s="21"/>
      <c r="N157" s="21"/>
    </row>
    <row r="158" spans="4:14" ht="14.25" customHeight="1" x14ac:dyDescent="0.25">
      <c r="D158" s="46"/>
      <c r="E158" s="16"/>
      <c r="F158" s="6"/>
      <c r="G158" s="6"/>
      <c r="H158" s="6"/>
      <c r="I158" s="40"/>
      <c r="J158" s="6">
        <f>September[[#This Row],[Hours 02/09]]+September[[#This Row],[Hours 09/09]]+September[[#This Row],[Hours 16/09]]+September[[#This Row],[Hours 23/09]]+September[[#This Row],[Hours 30/09]]</f>
        <v>0</v>
      </c>
      <c r="K158" s="21"/>
      <c r="L158" s="21"/>
      <c r="M158" s="21"/>
      <c r="N158" s="21"/>
    </row>
    <row r="159" spans="4:14" ht="14.25" customHeight="1" x14ac:dyDescent="0.25">
      <c r="D159" s="35"/>
      <c r="E159" s="38"/>
      <c r="F159" s="36"/>
      <c r="G159" s="36"/>
      <c r="H159" s="36"/>
      <c r="I159" s="36"/>
      <c r="J159" s="36">
        <f>September[[#This Row],[Hours 02/09]]+September[[#This Row],[Hours 09/09]]+September[[#This Row],[Hours 16/09]]+September[[#This Row],[Hours 23/09]]+September[[#This Row],[Hours 30/09]]</f>
        <v>0</v>
      </c>
      <c r="K159" s="21"/>
      <c r="L159" s="21"/>
      <c r="M159" s="21"/>
      <c r="N159" s="21"/>
    </row>
    <row r="160" spans="4:14" ht="14.25" customHeight="1" x14ac:dyDescent="0.25">
      <c r="D160" s="46"/>
      <c r="E160" s="16"/>
      <c r="F160" s="6"/>
      <c r="G160" s="6"/>
      <c r="H160" s="6"/>
      <c r="I160" s="40"/>
      <c r="J160" s="6">
        <f>September[[#This Row],[Hours 02/09]]+September[[#This Row],[Hours 09/09]]+September[[#This Row],[Hours 16/09]]+September[[#This Row],[Hours 23/09]]+September[[#This Row],[Hours 30/09]]</f>
        <v>0</v>
      </c>
      <c r="K160" s="21"/>
      <c r="L160" s="21"/>
      <c r="M160" s="21"/>
      <c r="N160" s="21"/>
    </row>
    <row r="161" spans="1:17" ht="14.25" customHeight="1" x14ac:dyDescent="0.25">
      <c r="D161" s="35"/>
      <c r="E161" s="38"/>
      <c r="F161" s="36"/>
      <c r="G161" s="36"/>
      <c r="H161" s="36"/>
      <c r="I161" s="36"/>
      <c r="J161" s="36">
        <f>September[[#This Row],[Hours 02/09]]+September[[#This Row],[Hours 09/09]]+September[[#This Row],[Hours 16/09]]+September[[#This Row],[Hours 23/09]]+September[[#This Row],[Hours 30/09]]</f>
        <v>0</v>
      </c>
      <c r="K161" s="21"/>
      <c r="L161" s="21"/>
      <c r="M161" s="21"/>
      <c r="N161" s="21"/>
    </row>
    <row r="162" spans="1:17" ht="14.25" customHeight="1" x14ac:dyDescent="0.25">
      <c r="D162" s="41" t="s">
        <v>5</v>
      </c>
      <c r="E162" s="16">
        <f>SUBTOTAL(109,September[Hours 02/09])</f>
        <v>0</v>
      </c>
      <c r="F162" s="16">
        <f>SUBTOTAL(109,September[Hours 09/09])</f>
        <v>0</v>
      </c>
      <c r="G162" s="16">
        <f>SUBTOTAL(109,September[Hours 16/09])</f>
        <v>0</v>
      </c>
      <c r="H162" s="16">
        <f>SUBTOTAL(109,September[Hours 23/09])</f>
        <v>0</v>
      </c>
      <c r="I162" s="16"/>
      <c r="J162" s="43">
        <f>SUM(September[Total])</f>
        <v>0</v>
      </c>
      <c r="K162" s="21"/>
      <c r="L162" s="21"/>
      <c r="M162" s="21"/>
      <c r="N162" s="21"/>
    </row>
    <row r="163" spans="1:17" ht="14.25" customHeight="1" x14ac:dyDescent="0.25">
      <c r="D163" s="39" t="s">
        <v>14</v>
      </c>
      <c r="E163" s="39"/>
      <c r="F163" s="39"/>
      <c r="G163" s="39"/>
      <c r="H163" s="39"/>
      <c r="I163" s="39"/>
      <c r="J163" s="39"/>
      <c r="K163" s="39"/>
      <c r="L163" s="39"/>
      <c r="M163" s="39"/>
      <c r="N163" s="39"/>
    </row>
    <row r="164" spans="1:17" x14ac:dyDescent="0.25">
      <c r="D164" s="12" t="s">
        <v>23</v>
      </c>
      <c r="E164" s="13" t="s">
        <v>109</v>
      </c>
      <c r="F164" s="13" t="s">
        <v>110</v>
      </c>
      <c r="G164" s="13" t="s">
        <v>111</v>
      </c>
      <c r="H164" s="13" t="s">
        <v>112</v>
      </c>
      <c r="I164" s="13" t="s">
        <v>125</v>
      </c>
      <c r="J164" s="14" t="s">
        <v>5</v>
      </c>
      <c r="K164" s="21"/>
      <c r="L164" s="21"/>
      <c r="M164" s="21"/>
      <c r="N164" s="21"/>
      <c r="Q164" s="50"/>
    </row>
    <row r="165" spans="1:17" x14ac:dyDescent="0.25">
      <c r="D165" s="35"/>
      <c r="E165" s="38"/>
      <c r="F165" s="36"/>
      <c r="G165" s="36"/>
      <c r="H165" s="36"/>
      <c r="I165" s="36"/>
      <c r="J165" s="36">
        <f>October[[#This Row],[Hours 07/10]]+October[[#This Row],[Hours 14/10]]+October[[#This Row],[Hours 21/10]]+October[[#This Row],[Hours 28/10]]</f>
        <v>0</v>
      </c>
      <c r="K165" s="21"/>
      <c r="L165" s="21"/>
      <c r="M165" s="21"/>
      <c r="N165" s="21"/>
      <c r="Q165" s="50"/>
    </row>
    <row r="166" spans="1:17" s="34" customFormat="1" x14ac:dyDescent="0.25">
      <c r="A166" s="33"/>
      <c r="B166" s="33"/>
      <c r="C166" s="33"/>
      <c r="D166" s="37"/>
      <c r="E166" s="16"/>
      <c r="F166" s="6"/>
      <c r="G166" s="6"/>
      <c r="H166" s="6"/>
      <c r="I166" s="6"/>
      <c r="J166" s="6">
        <f>October[[#This Row],[Hours 07/10]]+October[[#This Row],[Hours 14/10]]+October[[#This Row],[Hours 21/10]]+October[[#This Row],[Hours 28/10]]</f>
        <v>0</v>
      </c>
      <c r="K166" s="21"/>
      <c r="L166" s="21"/>
      <c r="M166" s="33"/>
      <c r="N166" s="33"/>
      <c r="P166" s="51"/>
      <c r="Q166" s="51"/>
    </row>
    <row r="167" spans="1:17" ht="14.25" customHeight="1" x14ac:dyDescent="0.25">
      <c r="D167" s="35"/>
      <c r="E167" s="38"/>
      <c r="F167" s="36"/>
      <c r="G167" s="36"/>
      <c r="H167" s="36"/>
      <c r="I167" s="36"/>
      <c r="J167" s="36">
        <f>October[[#This Row],[Hours 07/10]]+October[[#This Row],[Hours 14/10]]+October[[#This Row],[Hours 21/10]]+October[[#This Row],[Hours 28/10]]</f>
        <v>0</v>
      </c>
      <c r="K167" s="21"/>
      <c r="L167" s="21"/>
      <c r="M167" s="21"/>
      <c r="N167" s="21"/>
      <c r="Q167" s="50"/>
    </row>
    <row r="168" spans="1:17" ht="14.25" customHeight="1" x14ac:dyDescent="0.25">
      <c r="D168" s="37"/>
      <c r="E168" s="16"/>
      <c r="F168" s="6"/>
      <c r="G168" s="6"/>
      <c r="H168" s="6"/>
      <c r="I168" s="6"/>
      <c r="J168" s="6">
        <f>October[[#This Row],[Hours 07/10]]+October[[#This Row],[Hours 14/10]]+October[[#This Row],[Hours 21/10]]+October[[#This Row],[Hours 28/10]]</f>
        <v>0</v>
      </c>
      <c r="K168" s="21"/>
      <c r="L168" s="21"/>
      <c r="M168" s="21"/>
      <c r="N168" s="21"/>
      <c r="Q168" s="50"/>
    </row>
    <row r="169" spans="1:17" ht="14.25" customHeight="1" x14ac:dyDescent="0.25">
      <c r="D169" s="35"/>
      <c r="E169" s="38"/>
      <c r="F169" s="36"/>
      <c r="G169" s="36"/>
      <c r="H169" s="36"/>
      <c r="I169" s="36"/>
      <c r="J169" s="36">
        <f>October[[#This Row],[Hours 07/10]]+October[[#This Row],[Hours 14/10]]+October[[#This Row],[Hours 21/10]]+October[[#This Row],[Hours 28/10]]</f>
        <v>0</v>
      </c>
      <c r="K169" s="21"/>
      <c r="L169" s="21"/>
      <c r="M169" s="21"/>
      <c r="N169" s="21"/>
      <c r="Q169" s="50"/>
    </row>
    <row r="170" spans="1:17" ht="14.25" customHeight="1" x14ac:dyDescent="0.25">
      <c r="D170" s="46"/>
      <c r="E170" s="47"/>
      <c r="F170" s="40"/>
      <c r="G170" s="40"/>
      <c r="H170" s="40"/>
      <c r="I170" s="40"/>
      <c r="J170" s="40">
        <f>October[[#This Row],[Hours 07/10]]+October[[#This Row],[Hours 14/10]]+October[[#This Row],[Hours 21/10]]+October[[#This Row],[Hours 28/10]]</f>
        <v>0</v>
      </c>
      <c r="K170" s="21"/>
      <c r="L170" s="21"/>
      <c r="M170" s="21"/>
      <c r="N170" s="21"/>
      <c r="Q170" s="50"/>
    </row>
    <row r="171" spans="1:17" ht="14.25" customHeight="1" x14ac:dyDescent="0.25">
      <c r="D171" s="35"/>
      <c r="E171" s="38"/>
      <c r="F171" s="36"/>
      <c r="G171" s="36"/>
      <c r="H171" s="36"/>
      <c r="I171" s="36"/>
      <c r="J171" s="36">
        <f>October[[#This Row],[Hours 07/10]]+October[[#This Row],[Hours 14/10]]+October[[#This Row],[Hours 21/10]]+October[[#This Row],[Hours 28/10]]</f>
        <v>0</v>
      </c>
      <c r="K171" s="21"/>
      <c r="L171" s="21"/>
      <c r="M171" s="21"/>
      <c r="N171" s="21"/>
      <c r="Q171" s="50"/>
    </row>
    <row r="172" spans="1:17" ht="14.25" customHeight="1" x14ac:dyDescent="0.25">
      <c r="D172" s="46"/>
      <c r="E172" s="16"/>
      <c r="F172" s="6"/>
      <c r="G172" s="6"/>
      <c r="H172" s="6"/>
      <c r="I172" s="6"/>
      <c r="J172" s="6">
        <f>October[[#This Row],[Hours 07/10]]+October[[#This Row],[Hours 14/10]]+October[[#This Row],[Hours 21/10]]+October[[#This Row],[Hours 28/10]]</f>
        <v>0</v>
      </c>
      <c r="K172" s="21"/>
      <c r="L172" s="21"/>
      <c r="M172" s="21"/>
      <c r="N172" s="21"/>
      <c r="Q172" s="50"/>
    </row>
    <row r="173" spans="1:17" ht="14.25" customHeight="1" x14ac:dyDescent="0.25">
      <c r="D173" s="35"/>
      <c r="E173" s="38"/>
      <c r="F173" s="36"/>
      <c r="G173" s="36"/>
      <c r="H173" s="36"/>
      <c r="I173" s="36"/>
      <c r="J173" s="36">
        <f>October[[#This Row],[Hours 07/10]]+October[[#This Row],[Hours 14/10]]+October[[#This Row],[Hours 21/10]]+October[[#This Row],[Hours 28/10]]</f>
        <v>0</v>
      </c>
      <c r="K173" s="21"/>
      <c r="L173" s="21"/>
      <c r="M173" s="21"/>
      <c r="N173" s="21"/>
      <c r="Q173" s="50"/>
    </row>
    <row r="174" spans="1:17" ht="14.25" customHeight="1" x14ac:dyDescent="0.25">
      <c r="D174" s="46"/>
      <c r="E174" s="16"/>
      <c r="F174" s="6"/>
      <c r="G174" s="6"/>
      <c r="H174" s="6"/>
      <c r="I174" s="6"/>
      <c r="J174" s="6">
        <f>October[[#This Row],[Hours 07/10]]+October[[#This Row],[Hours 14/10]]+October[[#This Row],[Hours 21/10]]+October[[#This Row],[Hours 28/10]]</f>
        <v>0</v>
      </c>
      <c r="K174" s="21"/>
      <c r="L174" s="21"/>
      <c r="M174" s="21"/>
      <c r="N174" s="21"/>
      <c r="Q174" s="50"/>
    </row>
    <row r="175" spans="1:17" ht="14.25" customHeight="1" x14ac:dyDescent="0.25">
      <c r="D175" s="35"/>
      <c r="E175" s="38"/>
      <c r="F175" s="36"/>
      <c r="G175" s="36"/>
      <c r="H175" s="36"/>
      <c r="I175" s="36"/>
      <c r="J175" s="36">
        <f>October[[#This Row],[Hours 07/10]]+October[[#This Row],[Hours 14/10]]+October[[#This Row],[Hours 21/10]]+October[[#This Row],[Hours 28/10]]</f>
        <v>0</v>
      </c>
      <c r="K175" s="21"/>
      <c r="L175" s="21"/>
      <c r="M175" s="21"/>
      <c r="N175" s="21"/>
      <c r="Q175" s="50"/>
    </row>
    <row r="176" spans="1:17" ht="14.25" customHeight="1" x14ac:dyDescent="0.25">
      <c r="D176" s="46"/>
      <c r="E176" s="16"/>
      <c r="F176" s="6"/>
      <c r="G176" s="6"/>
      <c r="H176" s="6"/>
      <c r="I176" s="6"/>
      <c r="J176" s="6">
        <f>October[[#This Row],[Hours 07/10]]+October[[#This Row],[Hours 14/10]]+October[[#This Row],[Hours 21/10]]+October[[#This Row],[Hours 28/10]]</f>
        <v>0</v>
      </c>
      <c r="K176" s="21"/>
      <c r="L176" s="21"/>
      <c r="M176" s="21"/>
      <c r="N176" s="21"/>
      <c r="Q176" s="50"/>
    </row>
    <row r="177" spans="1:17" ht="14.25" customHeight="1" x14ac:dyDescent="0.25">
      <c r="D177" s="35"/>
      <c r="E177" s="38"/>
      <c r="F177" s="36"/>
      <c r="G177" s="36"/>
      <c r="H177" s="36"/>
      <c r="I177" s="36"/>
      <c r="J177" s="36">
        <f>October[[#This Row],[Hours 07/10]]+October[[#This Row],[Hours 14/10]]+October[[#This Row],[Hours 21/10]]+October[[#This Row],[Hours 28/10]]</f>
        <v>0</v>
      </c>
      <c r="K177" s="21"/>
      <c r="L177" s="21"/>
      <c r="M177" s="21"/>
      <c r="N177" s="21"/>
      <c r="Q177" s="50"/>
    </row>
    <row r="178" spans="1:17" ht="14.25" customHeight="1" x14ac:dyDescent="0.25">
      <c r="D178" s="37"/>
      <c r="E178" s="16"/>
      <c r="F178" s="6"/>
      <c r="G178" s="6"/>
      <c r="H178" s="6"/>
      <c r="I178" s="6"/>
      <c r="J178" s="6">
        <f>October[[#This Row],[Hours 07/10]]+October[[#This Row],[Hours 14/10]]+October[[#This Row],[Hours 21/10]]+October[[#This Row],[Hours 28/10]]</f>
        <v>0</v>
      </c>
      <c r="K178" s="21"/>
      <c r="L178" s="21"/>
      <c r="M178" s="21"/>
      <c r="N178" s="21"/>
      <c r="Q178" s="50"/>
    </row>
    <row r="179" spans="1:17" ht="14.25" customHeight="1" x14ac:dyDescent="0.25">
      <c r="D179" s="35"/>
      <c r="E179" s="38"/>
      <c r="F179" s="36"/>
      <c r="G179" s="36"/>
      <c r="H179" s="36"/>
      <c r="I179" s="36"/>
      <c r="J179" s="36">
        <f>October[[#This Row],[Hours 07/10]]+October[[#This Row],[Hours 14/10]]+October[[#This Row],[Hours 21/10]]+October[[#This Row],[Hours 28/10]]</f>
        <v>0</v>
      </c>
      <c r="K179" s="21"/>
      <c r="L179" s="21"/>
      <c r="M179" s="21"/>
      <c r="N179" s="21"/>
      <c r="Q179" s="50"/>
    </row>
    <row r="180" spans="1:17" ht="14.25" customHeight="1" x14ac:dyDescent="0.25">
      <c r="D180" s="15" t="s">
        <v>5</v>
      </c>
      <c r="E180" s="16">
        <f>SUBTOTAL(109,October[Hours 07/10])</f>
        <v>0</v>
      </c>
      <c r="F180" s="16">
        <f>SUBTOTAL(109,October[Hours 14/10])</f>
        <v>0</v>
      </c>
      <c r="G180" s="16">
        <f>SUBTOTAL(109,October[Hours 21/10])</f>
        <v>0</v>
      </c>
      <c r="H180" s="16">
        <f>SUBTOTAL(109,October[Hours 28/10])</f>
        <v>0</v>
      </c>
      <c r="I180" s="16"/>
      <c r="J180" s="43">
        <f>SUM(October[Total])</f>
        <v>0</v>
      </c>
      <c r="K180" s="21"/>
      <c r="L180" s="21"/>
      <c r="M180" s="21"/>
      <c r="N180" s="21"/>
      <c r="Q180" s="50"/>
    </row>
    <row r="181" spans="1:17" ht="14.25" customHeight="1" x14ac:dyDescent="0.25">
      <c r="D181" s="39" t="s">
        <v>15</v>
      </c>
    </row>
    <row r="182" spans="1:17" x14ac:dyDescent="0.25">
      <c r="D182" s="12" t="s">
        <v>23</v>
      </c>
      <c r="E182" s="13" t="s">
        <v>113</v>
      </c>
      <c r="F182" s="13" t="s">
        <v>114</v>
      </c>
      <c r="G182" s="13" t="s">
        <v>115</v>
      </c>
      <c r="H182" s="13" t="s">
        <v>121</v>
      </c>
      <c r="I182" s="13" t="s">
        <v>125</v>
      </c>
      <c r="J182" s="14" t="s">
        <v>5</v>
      </c>
      <c r="K182" s="33"/>
      <c r="L182" s="33"/>
      <c r="M182" s="21"/>
      <c r="N182" s="21"/>
      <c r="Q182" s="50"/>
    </row>
    <row r="183" spans="1:17" x14ac:dyDescent="0.25">
      <c r="D183" s="35"/>
      <c r="E183" s="38"/>
      <c r="F183" s="36"/>
      <c r="G183" s="36"/>
      <c r="H183" s="36"/>
      <c r="I183" s="36"/>
      <c r="J183" s="36">
        <f>November[[#This Row],[Hours 04/11]]+November[[#This Row],[Hours 11/11]]+November[[#This Row],[Hours 18/11]]+November[[#This Row],[Hours 25/11]]</f>
        <v>0</v>
      </c>
      <c r="K183" s="21"/>
      <c r="L183" s="21"/>
      <c r="M183" s="21"/>
      <c r="N183" s="21"/>
      <c r="Q183" s="50"/>
    </row>
    <row r="184" spans="1:17" s="34" customFormat="1" x14ac:dyDescent="0.25">
      <c r="A184" s="33"/>
      <c r="B184" s="33"/>
      <c r="C184" s="33"/>
      <c r="D184" s="37"/>
      <c r="E184" s="16"/>
      <c r="F184" s="6"/>
      <c r="G184" s="6"/>
      <c r="H184" s="6"/>
      <c r="I184" s="6"/>
      <c r="J184" s="6">
        <f>November[[#This Row],[Hours 04/11]]+November[[#This Row],[Hours 11/11]]+November[[#This Row],[Hours 18/11]]+November[[#This Row],[Hours 25/11]]</f>
        <v>0</v>
      </c>
      <c r="K184" s="21"/>
      <c r="L184" s="21"/>
      <c r="M184" s="33"/>
      <c r="N184" s="33"/>
      <c r="P184" s="51"/>
      <c r="Q184" s="51"/>
    </row>
    <row r="185" spans="1:17" ht="14.25" customHeight="1" x14ac:dyDescent="0.25">
      <c r="D185" s="35"/>
      <c r="E185" s="38"/>
      <c r="F185" s="36"/>
      <c r="G185" s="36"/>
      <c r="H185" s="36"/>
      <c r="I185" s="36"/>
      <c r="J185" s="36">
        <f>November[[#This Row],[Hours 04/11]]+November[[#This Row],[Hours 11/11]]+November[[#This Row],[Hours 18/11]]+November[[#This Row],[Hours 25/11]]</f>
        <v>0</v>
      </c>
      <c r="K185" s="21"/>
      <c r="L185" s="21"/>
      <c r="M185" s="21"/>
      <c r="N185" s="21"/>
      <c r="Q185" s="50"/>
    </row>
    <row r="186" spans="1:17" ht="14.25" customHeight="1" x14ac:dyDescent="0.25">
      <c r="D186" s="46"/>
      <c r="E186" s="47"/>
      <c r="F186" s="40"/>
      <c r="G186" s="40"/>
      <c r="H186" s="40"/>
      <c r="I186" s="40"/>
      <c r="J186" s="40">
        <f>November[[#This Row],[Hours 04/11]]+November[[#This Row],[Hours 11/11]]+November[[#This Row],[Hours 18/11]]+November[[#This Row],[Hours 25/11]]</f>
        <v>0</v>
      </c>
      <c r="K186" s="21"/>
      <c r="L186" s="21"/>
      <c r="M186" s="21"/>
      <c r="N186" s="21"/>
      <c r="Q186" s="50"/>
    </row>
    <row r="187" spans="1:17" ht="14.25" customHeight="1" x14ac:dyDescent="0.25">
      <c r="D187" s="35"/>
      <c r="E187" s="38"/>
      <c r="F187" s="36"/>
      <c r="G187" s="36"/>
      <c r="H187" s="36"/>
      <c r="I187" s="36"/>
      <c r="J187" s="36">
        <f>November[[#This Row],[Hours 04/11]]+November[[#This Row],[Hours 11/11]]+November[[#This Row],[Hours 18/11]]+November[[#This Row],[Hours 25/11]]</f>
        <v>0</v>
      </c>
      <c r="K187" s="21"/>
      <c r="L187" s="21"/>
      <c r="M187" s="21"/>
      <c r="N187" s="21"/>
      <c r="Q187" s="50"/>
    </row>
    <row r="188" spans="1:17" ht="14.25" customHeight="1" x14ac:dyDescent="0.25">
      <c r="D188" s="46"/>
      <c r="E188" s="47"/>
      <c r="F188" s="40"/>
      <c r="G188" s="40"/>
      <c r="H188" s="40"/>
      <c r="I188" s="40"/>
      <c r="J188" s="40">
        <f>November[[#This Row],[Hours 04/11]]+November[[#This Row],[Hours 11/11]]+November[[#This Row],[Hours 18/11]]+November[[#This Row],[Hours 25/11]]</f>
        <v>0</v>
      </c>
      <c r="K188" s="21"/>
      <c r="L188" s="21"/>
      <c r="M188" s="21"/>
      <c r="N188" s="21"/>
      <c r="Q188" s="50"/>
    </row>
    <row r="189" spans="1:17" ht="14.25" customHeight="1" x14ac:dyDescent="0.25">
      <c r="D189" s="35"/>
      <c r="E189" s="38"/>
      <c r="F189" s="36"/>
      <c r="G189" s="36"/>
      <c r="H189" s="36"/>
      <c r="I189" s="36"/>
      <c r="J189" s="36">
        <f>November[[#This Row],[Hours 04/11]]+November[[#This Row],[Hours 11/11]]+November[[#This Row],[Hours 18/11]]+November[[#This Row],[Hours 25/11]]</f>
        <v>0</v>
      </c>
      <c r="K189" s="21"/>
      <c r="L189" s="21"/>
      <c r="M189" s="21"/>
      <c r="N189" s="21"/>
      <c r="Q189" s="50"/>
    </row>
    <row r="190" spans="1:17" ht="14.25" customHeight="1" x14ac:dyDescent="0.25">
      <c r="D190" s="46"/>
      <c r="E190" s="47"/>
      <c r="F190" s="40"/>
      <c r="G190" s="40"/>
      <c r="H190" s="40"/>
      <c r="I190" s="40"/>
      <c r="J190" s="40">
        <f>November[[#This Row],[Hours 04/11]]+November[[#This Row],[Hours 11/11]]+November[[#This Row],[Hours 18/11]]+November[[#This Row],[Hours 25/11]]</f>
        <v>0</v>
      </c>
      <c r="K190" s="21"/>
      <c r="L190" s="21"/>
      <c r="M190" s="21"/>
      <c r="N190" s="21"/>
      <c r="Q190" s="50"/>
    </row>
    <row r="191" spans="1:17" ht="14.25" customHeight="1" x14ac:dyDescent="0.25">
      <c r="D191" s="35"/>
      <c r="E191" s="38"/>
      <c r="F191" s="36"/>
      <c r="G191" s="36"/>
      <c r="H191" s="36"/>
      <c r="I191" s="36"/>
      <c r="J191" s="36">
        <f>November[[#This Row],[Hours 04/11]]+November[[#This Row],[Hours 11/11]]+November[[#This Row],[Hours 18/11]]+November[[#This Row],[Hours 25/11]]</f>
        <v>0</v>
      </c>
      <c r="K191" s="21"/>
      <c r="L191" s="21"/>
      <c r="M191" s="21"/>
      <c r="N191" s="21"/>
      <c r="Q191" s="50"/>
    </row>
    <row r="192" spans="1:17" ht="14.25" customHeight="1" x14ac:dyDescent="0.25">
      <c r="D192" s="46"/>
      <c r="E192" s="47"/>
      <c r="F192" s="40"/>
      <c r="G192" s="40"/>
      <c r="H192" s="40"/>
      <c r="I192" s="40"/>
      <c r="J192" s="40">
        <f>November[[#This Row],[Hours 04/11]]+November[[#This Row],[Hours 11/11]]+November[[#This Row],[Hours 18/11]]+November[[#This Row],[Hours 25/11]]</f>
        <v>0</v>
      </c>
      <c r="K192" s="21"/>
      <c r="L192" s="21"/>
      <c r="M192" s="21"/>
      <c r="N192" s="21"/>
      <c r="Q192" s="50"/>
    </row>
    <row r="193" spans="4:17" ht="14.25" customHeight="1" x14ac:dyDescent="0.25">
      <c r="D193" s="35"/>
      <c r="E193" s="38"/>
      <c r="F193" s="36"/>
      <c r="G193" s="36"/>
      <c r="H193" s="36"/>
      <c r="I193" s="36"/>
      <c r="J193" s="36">
        <f>November[[#This Row],[Hours 04/11]]+November[[#This Row],[Hours 11/11]]+November[[#This Row],[Hours 18/11]]+November[[#This Row],[Hours 25/11]]</f>
        <v>0</v>
      </c>
      <c r="K193" s="21"/>
      <c r="L193" s="21"/>
      <c r="M193" s="21"/>
      <c r="N193" s="21"/>
      <c r="Q193" s="50"/>
    </row>
    <row r="194" spans="4:17" ht="14.25" customHeight="1" x14ac:dyDescent="0.25">
      <c r="D194" s="37"/>
      <c r="E194" s="16"/>
      <c r="F194" s="6"/>
      <c r="G194" s="6"/>
      <c r="H194" s="6"/>
      <c r="I194" s="6"/>
      <c r="J194" s="6">
        <f>November[[#This Row],[Hours 04/11]]+November[[#This Row],[Hours 11/11]]+November[[#This Row],[Hours 18/11]]+November[[#This Row],[Hours 25/11]]</f>
        <v>0</v>
      </c>
      <c r="K194" s="21"/>
      <c r="L194" s="21"/>
      <c r="M194" s="21"/>
      <c r="N194" s="21"/>
      <c r="Q194" s="50"/>
    </row>
    <row r="195" spans="4:17" ht="14.25" customHeight="1" x14ac:dyDescent="0.25">
      <c r="D195" s="35"/>
      <c r="E195" s="38"/>
      <c r="F195" s="36"/>
      <c r="G195" s="36"/>
      <c r="H195" s="36"/>
      <c r="I195" s="36"/>
      <c r="J195" s="36">
        <f>November[[#This Row],[Hours 04/11]]+November[[#This Row],[Hours 11/11]]+November[[#This Row],[Hours 18/11]]+November[[#This Row],[Hours 25/11]]</f>
        <v>0</v>
      </c>
      <c r="K195" s="21"/>
      <c r="L195" s="21"/>
      <c r="M195" s="21"/>
      <c r="N195" s="21"/>
      <c r="Q195" s="50"/>
    </row>
    <row r="196" spans="4:17" ht="14.25" customHeight="1" x14ac:dyDescent="0.25">
      <c r="D196" s="37"/>
      <c r="E196" s="16"/>
      <c r="F196" s="6"/>
      <c r="G196" s="6"/>
      <c r="H196" s="6"/>
      <c r="I196" s="6"/>
      <c r="J196" s="6">
        <f>November[[#This Row],[Hours 04/11]]+November[[#This Row],[Hours 11/11]]+November[[#This Row],[Hours 18/11]]+November[[#This Row],[Hours 25/11]]</f>
        <v>0</v>
      </c>
      <c r="K196" s="21"/>
      <c r="L196" s="21"/>
      <c r="M196" s="21"/>
      <c r="N196" s="21"/>
      <c r="Q196" s="50"/>
    </row>
    <row r="197" spans="4:17" ht="14.25" customHeight="1" x14ac:dyDescent="0.25">
      <c r="D197" s="35"/>
      <c r="E197" s="38"/>
      <c r="F197" s="36"/>
      <c r="G197" s="36"/>
      <c r="H197" s="36"/>
      <c r="I197" s="36"/>
      <c r="J197" s="36">
        <f>November[[#This Row],[Hours 04/11]]+November[[#This Row],[Hours 11/11]]+November[[#This Row],[Hours 18/11]]+November[[#This Row],[Hours 25/11]]</f>
        <v>0</v>
      </c>
      <c r="K197" s="21"/>
      <c r="L197" s="21"/>
      <c r="M197" s="21"/>
      <c r="N197" s="21"/>
      <c r="Q197" s="50"/>
    </row>
    <row r="198" spans="4:17" ht="14.25" customHeight="1" x14ac:dyDescent="0.25">
      <c r="D198" s="15" t="s">
        <v>5</v>
      </c>
      <c r="E198" s="16">
        <f>SUBTOTAL(109,November[Hours 04/11])</f>
        <v>0</v>
      </c>
      <c r="F198" s="16">
        <f>SUBTOTAL(109,November[Hours 11/11])</f>
        <v>0</v>
      </c>
      <c r="G198" s="16">
        <f>SUBTOTAL(109,November[Hours 18/11])</f>
        <v>0</v>
      </c>
      <c r="H198" s="16">
        <f>SUBTOTAL(109,November[Hours 25/11])</f>
        <v>0</v>
      </c>
      <c r="I198" s="16"/>
      <c r="J198" s="43">
        <f>SUM(November[Total])</f>
        <v>0</v>
      </c>
      <c r="K198" s="21"/>
      <c r="L198" s="21"/>
      <c r="M198" s="21"/>
      <c r="N198" s="21"/>
      <c r="Q198" s="50"/>
    </row>
    <row r="199" spans="4:17" ht="14.25" customHeight="1" x14ac:dyDescent="0.25">
      <c r="D199" s="39" t="s">
        <v>16</v>
      </c>
    </row>
    <row r="200" spans="4:17" x14ac:dyDescent="0.25">
      <c r="D200" s="12" t="s">
        <v>23</v>
      </c>
      <c r="E200" s="13" t="s">
        <v>116</v>
      </c>
      <c r="F200" s="13" t="s">
        <v>117</v>
      </c>
      <c r="G200" s="13" t="s">
        <v>118</v>
      </c>
      <c r="H200" s="13" t="s">
        <v>119</v>
      </c>
      <c r="I200" s="13" t="s">
        <v>120</v>
      </c>
      <c r="J200" s="14" t="s">
        <v>5</v>
      </c>
      <c r="K200" s="21"/>
      <c r="L200" s="21"/>
      <c r="M200" s="21"/>
      <c r="N200" s="21"/>
    </row>
    <row r="201" spans="4:17" x14ac:dyDescent="0.25">
      <c r="D201" s="35"/>
      <c r="E201" s="38"/>
      <c r="F201" s="36"/>
      <c r="G201" s="36"/>
      <c r="H201" s="36"/>
      <c r="I201" s="36"/>
      <c r="J201" s="36">
        <f>December[[#This Row],[Hours 02/12]]+December[[#This Row],[Hours 09/12]]+December[[#This Row],[Hours 16/12]]+December[[#This Row],[Hours 23/12]]+December[[#This Row],[Hours 30/12]]</f>
        <v>0</v>
      </c>
      <c r="K201" s="21"/>
      <c r="L201" s="21"/>
      <c r="M201" s="21"/>
      <c r="N201" s="21"/>
    </row>
    <row r="202" spans="4:17" x14ac:dyDescent="0.25">
      <c r="D202" s="46"/>
      <c r="E202" s="47"/>
      <c r="F202" s="40"/>
      <c r="G202" s="40"/>
      <c r="H202" s="40"/>
      <c r="I202" s="40"/>
      <c r="J202" s="40">
        <f>December[[#This Row],[Hours 02/12]]+December[[#This Row],[Hours 09/12]]+December[[#This Row],[Hours 16/12]]+December[[#This Row],[Hours 23/12]]+December[[#This Row],[Hours 30/12]]</f>
        <v>0</v>
      </c>
      <c r="K202" s="21"/>
      <c r="L202" s="21"/>
      <c r="M202" s="21"/>
      <c r="N202" s="21"/>
    </row>
    <row r="203" spans="4:17" x14ac:dyDescent="0.25">
      <c r="D203" s="35"/>
      <c r="E203" s="38"/>
      <c r="F203" s="36"/>
      <c r="G203" s="36"/>
      <c r="H203" s="36"/>
      <c r="I203" s="36"/>
      <c r="J203" s="36">
        <f>December[[#This Row],[Hours 02/12]]+December[[#This Row],[Hours 09/12]]+December[[#This Row],[Hours 16/12]]+December[[#This Row],[Hours 23/12]]+December[[#This Row],[Hours 30/12]]</f>
        <v>0</v>
      </c>
      <c r="K203" s="21"/>
      <c r="L203" s="21"/>
      <c r="M203" s="21"/>
      <c r="N203" s="21"/>
    </row>
    <row r="204" spans="4:17" x14ac:dyDescent="0.25">
      <c r="D204" s="46"/>
      <c r="E204" s="47"/>
      <c r="F204" s="40"/>
      <c r="G204" s="40"/>
      <c r="H204" s="40"/>
      <c r="I204" s="40"/>
      <c r="J204" s="40">
        <f>December[[#This Row],[Hours 02/12]]+December[[#This Row],[Hours 09/12]]+December[[#This Row],[Hours 16/12]]+December[[#This Row],[Hours 23/12]]+December[[#This Row],[Hours 30/12]]</f>
        <v>0</v>
      </c>
      <c r="K204" s="21"/>
      <c r="L204" s="21"/>
      <c r="M204" s="21"/>
      <c r="N204" s="21"/>
    </row>
    <row r="205" spans="4:17" x14ac:dyDescent="0.25">
      <c r="D205" s="35"/>
      <c r="E205" s="38"/>
      <c r="F205" s="36"/>
      <c r="G205" s="36"/>
      <c r="H205" s="36"/>
      <c r="I205" s="36"/>
      <c r="J205" s="36">
        <f>December[[#This Row],[Hours 02/12]]+December[[#This Row],[Hours 09/12]]+December[[#This Row],[Hours 16/12]]+December[[#This Row],[Hours 23/12]]+December[[#This Row],[Hours 30/12]]</f>
        <v>0</v>
      </c>
      <c r="K205" s="21"/>
      <c r="L205" s="21"/>
      <c r="M205" s="21"/>
      <c r="N205" s="21"/>
    </row>
    <row r="206" spans="4:17" x14ac:dyDescent="0.25">
      <c r="D206" s="46"/>
      <c r="E206" s="47"/>
      <c r="F206" s="40"/>
      <c r="G206" s="40"/>
      <c r="H206" s="40"/>
      <c r="I206" s="40"/>
      <c r="J206" s="40">
        <f>December[[#This Row],[Hours 02/12]]+December[[#This Row],[Hours 09/12]]+December[[#This Row],[Hours 16/12]]+December[[#This Row],[Hours 23/12]]+December[[#This Row],[Hours 30/12]]</f>
        <v>0</v>
      </c>
      <c r="K206" s="21"/>
      <c r="L206" s="21"/>
      <c r="M206" s="21"/>
      <c r="N206" s="21"/>
    </row>
    <row r="207" spans="4:17" x14ac:dyDescent="0.25">
      <c r="D207" s="35"/>
      <c r="E207" s="38"/>
      <c r="F207" s="36"/>
      <c r="G207" s="36"/>
      <c r="H207" s="36"/>
      <c r="I207" s="36"/>
      <c r="J207" s="36">
        <f>December[[#This Row],[Hours 02/12]]+December[[#This Row],[Hours 09/12]]+December[[#This Row],[Hours 16/12]]+December[[#This Row],[Hours 23/12]]+December[[#This Row],[Hours 30/12]]</f>
        <v>0</v>
      </c>
      <c r="K207" s="21"/>
      <c r="L207" s="21"/>
      <c r="M207" s="21"/>
      <c r="N207" s="21"/>
    </row>
    <row r="208" spans="4:17" x14ac:dyDescent="0.25">
      <c r="D208" s="46"/>
      <c r="E208" s="47"/>
      <c r="F208" s="40"/>
      <c r="G208" s="40"/>
      <c r="H208" s="40"/>
      <c r="I208" s="40"/>
      <c r="J208" s="40">
        <f>December[[#This Row],[Hours 02/12]]+December[[#This Row],[Hours 09/12]]+December[[#This Row],[Hours 16/12]]+December[[#This Row],[Hours 23/12]]+December[[#This Row],[Hours 30/12]]</f>
        <v>0</v>
      </c>
      <c r="K208" s="21"/>
      <c r="L208" s="21"/>
      <c r="M208" s="21"/>
      <c r="N208" s="21"/>
    </row>
    <row r="209" spans="4:14" x14ac:dyDescent="0.25">
      <c r="D209" s="37"/>
      <c r="E209" s="16"/>
      <c r="F209" s="6"/>
      <c r="G209" s="6"/>
      <c r="H209" s="6"/>
      <c r="I209" s="6"/>
      <c r="J209" s="6">
        <f>December[[#This Row],[Hours 02/12]]+December[[#This Row],[Hours 09/12]]+December[[#This Row],[Hours 16/12]]+December[[#This Row],[Hours 23/12]]+December[[#This Row],[Hours 30/12]]</f>
        <v>0</v>
      </c>
      <c r="K209" s="21"/>
      <c r="L209" s="21"/>
      <c r="M209" s="21"/>
      <c r="N209" s="21"/>
    </row>
    <row r="210" spans="4:14" x14ac:dyDescent="0.25">
      <c r="D210" s="46"/>
      <c r="E210" s="47"/>
      <c r="F210" s="40"/>
      <c r="G210" s="40"/>
      <c r="H210" s="40"/>
      <c r="I210" s="40"/>
      <c r="J210" s="40">
        <f>December[[#This Row],[Hours 02/12]]+December[[#This Row],[Hours 09/12]]+December[[#This Row],[Hours 16/12]]+December[[#This Row],[Hours 23/12]]+December[[#This Row],[Hours 30/12]]</f>
        <v>0</v>
      </c>
      <c r="K210" s="21"/>
      <c r="L210" s="21"/>
      <c r="M210" s="21"/>
      <c r="N210" s="21"/>
    </row>
    <row r="211" spans="4:14" x14ac:dyDescent="0.25">
      <c r="D211" s="35"/>
      <c r="E211" s="38"/>
      <c r="F211" s="36"/>
      <c r="G211" s="36"/>
      <c r="H211" s="36"/>
      <c r="I211" s="36"/>
      <c r="J211" s="36">
        <f>December[[#This Row],[Hours 02/12]]+December[[#This Row],[Hours 09/12]]+December[[#This Row],[Hours 16/12]]+December[[#This Row],[Hours 23/12]]+December[[#This Row],[Hours 30/12]]</f>
        <v>0</v>
      </c>
      <c r="K211" s="21"/>
      <c r="L211" s="21"/>
      <c r="M211" s="21"/>
      <c r="N211" s="21"/>
    </row>
    <row r="212" spans="4:14" x14ac:dyDescent="0.25">
      <c r="D212" s="37"/>
      <c r="E212" s="16"/>
      <c r="F212" s="6"/>
      <c r="G212" s="6"/>
      <c r="H212" s="6"/>
      <c r="I212" s="6"/>
      <c r="J212" s="6">
        <f>December[[#This Row],[Hours 02/12]]+December[[#This Row],[Hours 09/12]]+December[[#This Row],[Hours 16/12]]+December[[#This Row],[Hours 23/12]]+December[[#This Row],[Hours 30/12]]</f>
        <v>0</v>
      </c>
      <c r="K212" s="21"/>
      <c r="L212" s="21"/>
      <c r="M212" s="21"/>
      <c r="N212" s="21"/>
    </row>
    <row r="213" spans="4:14" x14ac:dyDescent="0.25">
      <c r="D213" s="35"/>
      <c r="E213" s="38"/>
      <c r="F213" s="36"/>
      <c r="G213" s="36"/>
      <c r="H213" s="36"/>
      <c r="I213" s="36"/>
      <c r="J213" s="36">
        <f>December[[#This Row],[Hours 02/12]]+December[[#This Row],[Hours 09/12]]+December[[#This Row],[Hours 16/12]]+December[[#This Row],[Hours 23/12]]+December[[#This Row],[Hours 30/12]]</f>
        <v>0</v>
      </c>
      <c r="K213" s="21"/>
      <c r="L213" s="21"/>
      <c r="M213" s="21"/>
      <c r="N213" s="21"/>
    </row>
    <row r="214" spans="4:14" x14ac:dyDescent="0.25">
      <c r="D214" s="37"/>
      <c r="E214" s="16"/>
      <c r="F214" s="6"/>
      <c r="G214" s="6"/>
      <c r="H214" s="6"/>
      <c r="I214" s="6"/>
      <c r="J214" s="6">
        <f>December[[#This Row],[Hours 02/12]]+December[[#This Row],[Hours 09/12]]+December[[#This Row],[Hours 16/12]]+December[[#This Row],[Hours 23/12]]+December[[#This Row],[Hours 30/12]]</f>
        <v>0</v>
      </c>
      <c r="K214" s="21"/>
      <c r="L214" s="21"/>
      <c r="M214" s="21"/>
      <c r="N214" s="21"/>
    </row>
    <row r="215" spans="4:14" x14ac:dyDescent="0.25">
      <c r="D215" s="35"/>
      <c r="E215" s="38"/>
      <c r="F215" s="36"/>
      <c r="G215" s="36"/>
      <c r="H215" s="36"/>
      <c r="I215" s="36"/>
      <c r="J215" s="36">
        <f>December[[#This Row],[Hours 02/12]]+December[[#This Row],[Hours 09/12]]+December[[#This Row],[Hours 16/12]]+December[[#This Row],[Hours 23/12]]+December[[#This Row],[Hours 30/12]]</f>
        <v>0</v>
      </c>
      <c r="K215" s="21"/>
      <c r="L215" s="21"/>
      <c r="M215" s="21"/>
      <c r="N215" s="21"/>
    </row>
    <row r="216" spans="4:14" x14ac:dyDescent="0.25">
      <c r="D216" s="15" t="s">
        <v>5</v>
      </c>
      <c r="E216" s="16">
        <f>SUBTOTAL(109,December[Hours 02/12])</f>
        <v>0</v>
      </c>
      <c r="F216" s="16">
        <f>SUBTOTAL(109,December[Hours 09/12])</f>
        <v>0</v>
      </c>
      <c r="G216" s="16">
        <f>SUBTOTAL(109,December[Hours 16/12])</f>
        <v>0</v>
      </c>
      <c r="H216" s="16">
        <f>SUBTOTAL(109,December[Hours 23/12])</f>
        <v>0</v>
      </c>
      <c r="I216" s="16">
        <f>SUBTOTAL(109,December[Hours 30/12])</f>
        <v>0</v>
      </c>
      <c r="J216" s="43">
        <f>SUM(December[Total])</f>
        <v>0</v>
      </c>
      <c r="K216" s="21"/>
      <c r="L216" s="21"/>
      <c r="M216" s="21"/>
      <c r="N216" s="21"/>
    </row>
  </sheetData>
  <mergeCells count="1">
    <mergeCell ref="A1:B1"/>
  </mergeCells>
  <phoneticPr fontId="23" type="noConversion"/>
  <dataValidations count="1">
    <dataValidation type="list" allowBlank="1" showInputMessage="1" showErrorMessage="1" sqref="D21:D35 D39:D53 D57:D71 D75:D89 D93:D107 D111:D125 D129:D143 D147:D161 D165:D179 D183:D197 D201:D215 D3 D5:D14" xr:uid="{AD44F0D6-796F-48F0-BCD9-3C8FD98E037A}">
      <formula1>TaskCodes</formula1>
    </dataValidation>
  </dataValidations>
  <printOptions horizontalCentered="1"/>
  <pageMargins left="0.4" right="0.4" top="0.4" bottom="0.5" header="0.3" footer="0.3"/>
  <pageSetup paperSize="9" fitToHeight="0" orientation="landscape" horizontalDpi="4294967293" verticalDpi="200" r:id="rId1"/>
  <headerFooter differentFirst="1">
    <oddFooter>Page &amp;P of &amp;N</oddFooter>
  </headerFooter>
  <tableParts count="12">
    <tablePart r:id="rId2"/>
    <tablePart r:id="rId3"/>
    <tablePart r:id="rId4"/>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95B8-33A6-4835-90BF-493E5C106602}">
  <sheetPr codeName="Sheet5"/>
  <dimension ref="A1:A42"/>
  <sheetViews>
    <sheetView topLeftCell="A2" workbookViewId="0">
      <selection activeCell="I23" sqref="I23"/>
    </sheetView>
  </sheetViews>
  <sheetFormatPr defaultRowHeight="13" x14ac:dyDescent="0.3"/>
  <sheetData>
    <row r="1" spans="1:1" x14ac:dyDescent="0.3">
      <c r="A1" s="57" t="s">
        <v>31</v>
      </c>
    </row>
    <row r="2" spans="1:1" x14ac:dyDescent="0.3">
      <c r="A2" s="44" t="s">
        <v>32</v>
      </c>
    </row>
    <row r="3" spans="1:1" x14ac:dyDescent="0.3">
      <c r="A3" s="44" t="s">
        <v>33</v>
      </c>
    </row>
    <row r="4" spans="1:1" x14ac:dyDescent="0.3">
      <c r="A4" s="44" t="s">
        <v>34</v>
      </c>
    </row>
    <row r="5" spans="1:1" x14ac:dyDescent="0.3">
      <c r="A5" s="44" t="s">
        <v>35</v>
      </c>
    </row>
    <row r="6" spans="1:1" x14ac:dyDescent="0.3">
      <c r="A6" s="44" t="s">
        <v>36</v>
      </c>
    </row>
    <row r="7" spans="1:1" x14ac:dyDescent="0.3">
      <c r="A7" s="44" t="s">
        <v>37</v>
      </c>
    </row>
    <row r="8" spans="1:1" x14ac:dyDescent="0.3">
      <c r="A8" s="44" t="s">
        <v>38</v>
      </c>
    </row>
    <row r="9" spans="1:1" x14ac:dyDescent="0.3">
      <c r="A9" s="44" t="s">
        <v>39</v>
      </c>
    </row>
    <row r="10" spans="1:1" x14ac:dyDescent="0.3">
      <c r="A10" s="44" t="s">
        <v>40</v>
      </c>
    </row>
    <row r="11" spans="1:1" x14ac:dyDescent="0.3">
      <c r="A11" s="44" t="s">
        <v>41</v>
      </c>
    </row>
    <row r="12" spans="1:1" x14ac:dyDescent="0.3">
      <c r="A12" s="44" t="s">
        <v>42</v>
      </c>
    </row>
    <row r="13" spans="1:1" x14ac:dyDescent="0.3">
      <c r="A13" s="44" t="s">
        <v>43</v>
      </c>
    </row>
    <row r="14" spans="1:1" x14ac:dyDescent="0.3">
      <c r="A14" s="44" t="s">
        <v>44</v>
      </c>
    </row>
    <row r="15" spans="1:1" x14ac:dyDescent="0.3">
      <c r="A15" s="44" t="s">
        <v>45</v>
      </c>
    </row>
    <row r="16" spans="1:1" x14ac:dyDescent="0.3">
      <c r="A16" s="44" t="s">
        <v>46</v>
      </c>
    </row>
    <row r="17" spans="1:1" x14ac:dyDescent="0.3">
      <c r="A17" s="44" t="s">
        <v>47</v>
      </c>
    </row>
    <row r="18" spans="1:1" x14ac:dyDescent="0.3">
      <c r="A18" s="44" t="s">
        <v>48</v>
      </c>
    </row>
    <row r="19" spans="1:1" x14ac:dyDescent="0.3">
      <c r="A19" s="44" t="s">
        <v>49</v>
      </c>
    </row>
    <row r="20" spans="1:1" x14ac:dyDescent="0.3">
      <c r="A20" s="44" t="s">
        <v>50</v>
      </c>
    </row>
    <row r="21" spans="1:1" x14ac:dyDescent="0.3">
      <c r="A21" s="44" t="s">
        <v>51</v>
      </c>
    </row>
    <row r="22" spans="1:1" x14ac:dyDescent="0.3">
      <c r="A22" s="44" t="s">
        <v>52</v>
      </c>
    </row>
    <row r="23" spans="1:1" x14ac:dyDescent="0.3">
      <c r="A23" s="44" t="s">
        <v>53</v>
      </c>
    </row>
    <row r="24" spans="1:1" x14ac:dyDescent="0.3">
      <c r="A24" s="44" t="s">
        <v>54</v>
      </c>
    </row>
    <row r="25" spans="1:1" x14ac:dyDescent="0.3">
      <c r="A25" s="44" t="s">
        <v>55</v>
      </c>
    </row>
    <row r="26" spans="1:1" x14ac:dyDescent="0.3">
      <c r="A26" s="44" t="s">
        <v>56</v>
      </c>
    </row>
    <row r="27" spans="1:1" x14ac:dyDescent="0.3">
      <c r="A27" s="44" t="s">
        <v>57</v>
      </c>
    </row>
    <row r="28" spans="1:1" x14ac:dyDescent="0.3">
      <c r="A28" s="44" t="s">
        <v>58</v>
      </c>
    </row>
    <row r="29" spans="1:1" x14ac:dyDescent="0.3">
      <c r="A29" s="44" t="s">
        <v>59</v>
      </c>
    </row>
    <row r="30" spans="1:1" x14ac:dyDescent="0.3">
      <c r="A30" s="44" t="s">
        <v>60</v>
      </c>
    </row>
    <row r="31" spans="1:1" x14ac:dyDescent="0.3">
      <c r="A31" s="44" t="s">
        <v>61</v>
      </c>
    </row>
    <row r="32" spans="1:1" x14ac:dyDescent="0.3">
      <c r="A32" s="44" t="s">
        <v>44</v>
      </c>
    </row>
    <row r="33" spans="1:1" x14ac:dyDescent="0.3">
      <c r="A33" s="44" t="s">
        <v>62</v>
      </c>
    </row>
    <row r="34" spans="1:1" x14ac:dyDescent="0.3">
      <c r="A34" s="44" t="s">
        <v>63</v>
      </c>
    </row>
    <row r="35" spans="1:1" x14ac:dyDescent="0.3">
      <c r="A35" s="44" t="s">
        <v>64</v>
      </c>
    </row>
    <row r="36" spans="1:1" x14ac:dyDescent="0.3">
      <c r="A36" s="44" t="s">
        <v>65</v>
      </c>
    </row>
    <row r="37" spans="1:1" x14ac:dyDescent="0.3">
      <c r="A37" s="44" t="s">
        <v>66</v>
      </c>
    </row>
    <row r="38" spans="1:1" x14ac:dyDescent="0.3">
      <c r="A38" s="44" t="s">
        <v>67</v>
      </c>
    </row>
    <row r="39" spans="1:1" x14ac:dyDescent="0.3">
      <c r="A39" s="44" t="s">
        <v>123</v>
      </c>
    </row>
    <row r="40" spans="1:1" x14ac:dyDescent="0.3">
      <c r="A40" s="44" t="s">
        <v>124</v>
      </c>
    </row>
    <row r="41" spans="1:1" x14ac:dyDescent="0.3">
      <c r="A41" s="44"/>
    </row>
    <row r="42" spans="1:1" x14ac:dyDescent="0.3">
      <c r="A42" s="4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B2672-A79F-4DE7-B344-8565C748BC74}">
  <sheetPr codeName="Sheet1"/>
  <dimension ref="A1:AD7"/>
  <sheetViews>
    <sheetView workbookViewId="0">
      <selection activeCell="A3" sqref="A3"/>
    </sheetView>
  </sheetViews>
  <sheetFormatPr defaultRowHeight="13" x14ac:dyDescent="0.3"/>
  <cols>
    <col min="1" max="1" width="10.59765625" customWidth="1"/>
    <col min="2" max="2" width="12.3984375" customWidth="1"/>
    <col min="4" max="5" width="8.796875" customWidth="1"/>
    <col min="8" max="9" width="10.59765625" customWidth="1"/>
    <col min="15" max="16" width="10.59765625" customWidth="1"/>
    <col min="22" max="23" width="10.59765625" customWidth="1"/>
    <col min="29" max="30" width="10.59765625" customWidth="1"/>
  </cols>
  <sheetData>
    <row r="1" spans="1:30" x14ac:dyDescent="0.3">
      <c r="A1" t="s">
        <v>24</v>
      </c>
      <c r="H1" t="s">
        <v>25</v>
      </c>
      <c r="O1" t="s">
        <v>26</v>
      </c>
      <c r="V1" t="s">
        <v>27</v>
      </c>
      <c r="AC1" t="s">
        <v>28</v>
      </c>
    </row>
    <row r="2" spans="1:30" ht="26" x14ac:dyDescent="0.3">
      <c r="A2" t="s">
        <v>23</v>
      </c>
      <c r="B2" t="s">
        <v>29</v>
      </c>
      <c r="H2" t="s">
        <v>23</v>
      </c>
      <c r="I2" t="s">
        <v>29</v>
      </c>
      <c r="O2" t="s">
        <v>23</v>
      </c>
      <c r="P2" t="s">
        <v>29</v>
      </c>
      <c r="V2" t="s">
        <v>23</v>
      </c>
      <c r="W2" t="s">
        <v>29</v>
      </c>
      <c r="AC2" t="s">
        <v>23</v>
      </c>
      <c r="AD2" t="s">
        <v>29</v>
      </c>
    </row>
    <row r="3" spans="1:30" x14ac:dyDescent="0.3">
      <c r="A3" t="s">
        <v>36</v>
      </c>
      <c r="B3">
        <v>339</v>
      </c>
      <c r="H3" t="s">
        <v>36</v>
      </c>
      <c r="I3">
        <v>339</v>
      </c>
    </row>
    <row r="4" spans="1:30" x14ac:dyDescent="0.3">
      <c r="A4" t="s">
        <v>123</v>
      </c>
      <c r="B4">
        <v>41</v>
      </c>
      <c r="H4" t="s">
        <v>123</v>
      </c>
      <c r="I4">
        <v>41</v>
      </c>
    </row>
    <row r="5" spans="1:30" x14ac:dyDescent="0.3">
      <c r="A5" t="s">
        <v>45</v>
      </c>
      <c r="B5">
        <v>2</v>
      </c>
      <c r="H5" t="s">
        <v>45</v>
      </c>
      <c r="I5">
        <v>2</v>
      </c>
    </row>
    <row r="6" spans="1:30" x14ac:dyDescent="0.3">
      <c r="A6" t="s">
        <v>62</v>
      </c>
      <c r="B6">
        <v>2</v>
      </c>
      <c r="H6" t="s">
        <v>62</v>
      </c>
      <c r="I6">
        <v>2</v>
      </c>
    </row>
    <row r="7" spans="1:30" x14ac:dyDescent="0.3">
      <c r="A7" t="s">
        <v>61</v>
      </c>
      <c r="B7">
        <v>6</v>
      </c>
      <c r="H7" t="s">
        <v>61</v>
      </c>
      <c r="I7">
        <v>6</v>
      </c>
    </row>
  </sheetData>
  <phoneticPr fontId="23" type="noConversion"/>
  <pageMargins left="0.7" right="0.7" top="0.75" bottom="0.75" header="0.3" footer="0.3"/>
  <pageSetup orientation="portrait" r:id="rId1"/>
  <drawing r:id="rId2"/>
  <tableParts count="5">
    <tablePart r:id="rId3"/>
    <tablePart r:id="rId4"/>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7A505-03EF-453E-9736-208EB06D129C}">
  <sheetPr codeName="Sheet3"/>
  <dimension ref="A1:I19"/>
  <sheetViews>
    <sheetView workbookViewId="0">
      <selection activeCell="F22" sqref="F22"/>
    </sheetView>
  </sheetViews>
  <sheetFormatPr defaultColWidth="8.796875" defaultRowHeight="13" x14ac:dyDescent="0.3"/>
  <cols>
    <col min="1" max="1" width="10.3984375" style="44" customWidth="1"/>
    <col min="2" max="6" width="8.796875" style="44"/>
    <col min="7" max="7" width="15.69921875" style="44" bestFit="1" customWidth="1"/>
    <col min="8" max="8" width="8.796875" style="44"/>
    <col min="9" max="9" width="64.3984375" style="44" customWidth="1"/>
    <col min="10" max="16384" width="8.796875" style="44"/>
  </cols>
  <sheetData>
    <row r="1" spans="1:9" x14ac:dyDescent="0.3">
      <c r="A1" s="12" t="s">
        <v>30</v>
      </c>
      <c r="B1" s="53" t="s">
        <v>18</v>
      </c>
      <c r="C1" s="53" t="s">
        <v>19</v>
      </c>
      <c r="D1" s="53" t="s">
        <v>20</v>
      </c>
      <c r="E1" s="53" t="s">
        <v>21</v>
      </c>
      <c r="F1" s="53" t="s">
        <v>22</v>
      </c>
      <c r="G1" s="12" t="s">
        <v>5</v>
      </c>
      <c r="I1"/>
    </row>
    <row r="2" spans="1:9" x14ac:dyDescent="0.3">
      <c r="A2" s="3"/>
      <c r="B2" s="4"/>
      <c r="C2" s="4"/>
      <c r="D2" s="4"/>
      <c r="E2" s="4"/>
      <c r="F2" s="4"/>
      <c r="G2" s="4">
        <f>DayToDayTracking[[#This Row],[Mon]]+DayToDayTracking[[#This Row],[Tues]]+DayToDayTracking[[#This Row],[Wed]]+DayToDayTracking[[#This Row],[Thurs]]+DayToDayTracking[[#This Row],[Fri]]</f>
        <v>0</v>
      </c>
    </row>
    <row r="3" spans="1:9" x14ac:dyDescent="0.3">
      <c r="A3" s="3"/>
      <c r="B3" s="4"/>
      <c r="C3" s="4"/>
      <c r="D3" s="4"/>
      <c r="E3" s="4"/>
      <c r="F3" s="4"/>
      <c r="G3" s="4">
        <f>DayToDayTracking[[#This Row],[Mon]]+DayToDayTracking[[#This Row],[Tues]]+DayToDayTracking[[#This Row],[Wed]]+DayToDayTracking[[#This Row],[Thurs]]+DayToDayTracking[[#This Row],[Fri]]</f>
        <v>0</v>
      </c>
    </row>
    <row r="4" spans="1:9" x14ac:dyDescent="0.3">
      <c r="A4" s="49"/>
      <c r="B4" s="5"/>
      <c r="C4" s="4"/>
      <c r="D4" s="4"/>
      <c r="E4" s="4"/>
      <c r="F4" s="4"/>
      <c r="G4" s="4">
        <f>DayToDayTracking[[#This Row],[Mon]]+DayToDayTracking[[#This Row],[Tues]]+DayToDayTracking[[#This Row],[Wed]]+DayToDayTracking[[#This Row],[Thurs]]+DayToDayTracking[[#This Row],[Fri]]</f>
        <v>0</v>
      </c>
    </row>
    <row r="5" spans="1:9" x14ac:dyDescent="0.3">
      <c r="A5" s="3"/>
      <c r="B5" s="5"/>
      <c r="C5" s="4"/>
      <c r="D5" s="4"/>
      <c r="E5" s="4"/>
      <c r="F5" s="4"/>
      <c r="G5" s="4">
        <f>DayToDayTracking[[#This Row],[Mon]]+DayToDayTracking[[#This Row],[Tues]]+DayToDayTracking[[#This Row],[Wed]]+DayToDayTracking[[#This Row],[Thurs]]+DayToDayTracking[[#This Row],[Fri]]</f>
        <v>0</v>
      </c>
    </row>
    <row r="6" spans="1:9" x14ac:dyDescent="0.3">
      <c r="A6" s="3"/>
      <c r="B6" s="5"/>
      <c r="C6" s="4"/>
      <c r="D6" s="4"/>
      <c r="E6" s="4"/>
      <c r="F6" s="4"/>
      <c r="G6" s="4">
        <f>DayToDayTracking[[#This Row],[Mon]]+DayToDayTracking[[#This Row],[Tues]]+DayToDayTracking[[#This Row],[Wed]]+DayToDayTracking[[#This Row],[Thurs]]+DayToDayTracking[[#This Row],[Fri]]</f>
        <v>0</v>
      </c>
    </row>
    <row r="7" spans="1:9" x14ac:dyDescent="0.3">
      <c r="A7" s="3"/>
      <c r="B7" s="5"/>
      <c r="C7" s="4"/>
      <c r="D7" s="4"/>
      <c r="E7" s="4"/>
      <c r="F7" s="4"/>
      <c r="G7" s="4">
        <f>DayToDayTracking[[#This Row],[Mon]]+DayToDayTracking[[#This Row],[Tues]]+DayToDayTracking[[#This Row],[Wed]]+DayToDayTracking[[#This Row],[Thurs]]+DayToDayTracking[[#This Row],[Fri]]</f>
        <v>0</v>
      </c>
    </row>
    <row r="8" spans="1:9" x14ac:dyDescent="0.3">
      <c r="A8" s="3"/>
      <c r="B8" s="5"/>
      <c r="C8" s="4"/>
      <c r="D8" s="4"/>
      <c r="E8" s="4"/>
      <c r="F8" s="4"/>
      <c r="G8" s="4">
        <f>DayToDayTracking[[#This Row],[Mon]]+DayToDayTracking[[#This Row],[Tues]]+DayToDayTracking[[#This Row],[Wed]]+DayToDayTracking[[#This Row],[Thurs]]+DayToDayTracking[[#This Row],[Fri]]</f>
        <v>0</v>
      </c>
    </row>
    <row r="9" spans="1:9" x14ac:dyDescent="0.3">
      <c r="A9" s="3"/>
      <c r="B9" s="5"/>
      <c r="C9" s="4"/>
      <c r="D9" s="4"/>
      <c r="E9" s="4"/>
      <c r="F9" s="4"/>
      <c r="G9" s="4">
        <f>DayToDayTracking[[#This Row],[Mon]]+DayToDayTracking[[#This Row],[Tues]]+DayToDayTracking[[#This Row],[Wed]]+DayToDayTracking[[#This Row],[Thurs]]+DayToDayTracking[[#This Row],[Fri]]</f>
        <v>0</v>
      </c>
    </row>
    <row r="10" spans="1:9" x14ac:dyDescent="0.3">
      <c r="A10" s="3"/>
      <c r="B10" s="5"/>
      <c r="C10" s="4"/>
      <c r="D10" s="4"/>
      <c r="E10" s="4"/>
      <c r="F10" s="4"/>
      <c r="G10" s="4">
        <f>DayToDayTracking[[#This Row],[Mon]]+DayToDayTracking[[#This Row],[Tues]]+DayToDayTracking[[#This Row],[Wed]]+DayToDayTracking[[#This Row],[Thurs]]+DayToDayTracking[[#This Row],[Fri]]</f>
        <v>0</v>
      </c>
      <c r="I10"/>
    </row>
    <row r="11" spans="1:9" x14ac:dyDescent="0.3">
      <c r="A11" s="3"/>
      <c r="B11" s="5"/>
      <c r="C11" s="4"/>
      <c r="D11" s="4"/>
      <c r="E11" s="4"/>
      <c r="F11" s="4"/>
      <c r="G11" s="4">
        <f>DayToDayTracking[[#This Row],[Mon]]+DayToDayTracking[[#This Row],[Tues]]+DayToDayTracking[[#This Row],[Wed]]+DayToDayTracking[[#This Row],[Thurs]]+DayToDayTracking[[#This Row],[Fri]]</f>
        <v>0</v>
      </c>
    </row>
    <row r="12" spans="1:9" x14ac:dyDescent="0.3">
      <c r="A12" s="3"/>
      <c r="B12" s="5"/>
      <c r="C12" s="4"/>
      <c r="D12" s="4"/>
      <c r="E12" s="4"/>
      <c r="F12" s="4"/>
      <c r="G12" s="4">
        <f>DayToDayTracking[[#This Row],[Mon]]+DayToDayTracking[[#This Row],[Tues]]+DayToDayTracking[[#This Row],[Wed]]+DayToDayTracking[[#This Row],[Thurs]]+DayToDayTracking[[#This Row],[Fri]]</f>
        <v>0</v>
      </c>
    </row>
    <row r="13" spans="1:9" x14ac:dyDescent="0.3">
      <c r="A13" s="3"/>
      <c r="B13" s="5"/>
      <c r="C13" s="4"/>
      <c r="D13" s="4"/>
      <c r="E13" s="4"/>
      <c r="F13" s="4"/>
      <c r="G13" s="4">
        <f>DayToDayTracking[[#This Row],[Mon]]+DayToDayTracking[[#This Row],[Tues]]+DayToDayTracking[[#This Row],[Wed]]+DayToDayTracking[[#This Row],[Thurs]]+DayToDayTracking[[#This Row],[Fri]]</f>
        <v>0</v>
      </c>
    </row>
    <row r="14" spans="1:9" x14ac:dyDescent="0.3">
      <c r="A14" s="3"/>
      <c r="B14" s="5"/>
      <c r="C14" s="4"/>
      <c r="D14" s="4"/>
      <c r="E14" s="4"/>
      <c r="F14" s="4"/>
      <c r="G14" s="4">
        <f>DayToDayTracking[[#This Row],[Mon]]+DayToDayTracking[[#This Row],[Tues]]+DayToDayTracking[[#This Row],[Wed]]+DayToDayTracking[[#This Row],[Thurs]]+DayToDayTracking[[#This Row],[Fri]]</f>
        <v>0</v>
      </c>
    </row>
    <row r="15" spans="1:9" x14ac:dyDescent="0.3">
      <c r="A15" s="49"/>
      <c r="B15" s="54"/>
      <c r="C15" s="55"/>
      <c r="D15" s="55"/>
      <c r="E15" s="55"/>
      <c r="F15" s="55"/>
      <c r="G15" s="55">
        <f>DayToDayTracking[[#This Row],[Mon]]+DayToDayTracking[[#This Row],[Tues]]+DayToDayTracking[[#This Row],[Wed]]+DayToDayTracking[[#This Row],[Thurs]]+DayToDayTracking[[#This Row],[Fri]]</f>
        <v>0</v>
      </c>
    </row>
    <row r="16" spans="1:9" x14ac:dyDescent="0.3">
      <c r="A16" s="49"/>
      <c r="B16" s="54"/>
      <c r="C16" s="55"/>
      <c r="D16" s="55"/>
      <c r="E16" s="55"/>
      <c r="F16" s="55"/>
      <c r="G16" s="55">
        <f>DayToDayTracking[[#This Row],[Mon]]+DayToDayTracking[[#This Row],[Tues]]+DayToDayTracking[[#This Row],[Wed]]+DayToDayTracking[[#This Row],[Thurs]]+DayToDayTracking[[#This Row],[Fri]]</f>
        <v>0</v>
      </c>
    </row>
    <row r="17" spans="1:9" x14ac:dyDescent="0.3">
      <c r="A17" s="15" t="s">
        <v>5</v>
      </c>
      <c r="B17" s="16">
        <f>SUM(B2:B16)</f>
        <v>0</v>
      </c>
      <c r="C17" s="6">
        <f>SUM(C2:C16)</f>
        <v>0</v>
      </c>
      <c r="D17" s="6">
        <f>SUM(D2:D16)</f>
        <v>0</v>
      </c>
      <c r="E17" s="6">
        <f>SUM(E2:E16)</f>
        <v>0</v>
      </c>
      <c r="F17" s="6">
        <f>SUM(F2:F16)</f>
        <v>0</v>
      </c>
      <c r="G17" s="6">
        <f>SUM(DayToDayTracking[Total])</f>
        <v>0</v>
      </c>
    </row>
    <row r="19" spans="1:9" ht="52" x14ac:dyDescent="0.3">
      <c r="I19" t="s">
        <v>122</v>
      </c>
    </row>
  </sheetData>
  <phoneticPr fontId="23" type="noConversion"/>
  <dataValidations count="1">
    <dataValidation type="list" allowBlank="1" showInputMessage="1" showErrorMessage="1" sqref="A2:A16" xr:uid="{0EA06A7D-178E-4DDC-9313-A0B8EBB4F7B6}">
      <formula1>TaskCodes</formula1>
    </dataValidation>
  </dataValidations>
  <pageMargins left="0.7" right="0.7" top="0.75" bottom="0.75" header="0.3" footer="0.3"/>
  <drawing r:id="rId1"/>
  <legacyDrawing r:id="rId2"/>
  <controls>
    <mc:AlternateContent xmlns:mc="http://schemas.openxmlformats.org/markup-compatibility/2006">
      <mc:Choice Requires="x14">
        <control shapeId="2049" r:id="rId3" name="SubmitWeeklyTasks">
          <controlPr defaultSize="0" autoLine="0" autoPict="0" r:id="rId4">
            <anchor moveWithCells="1">
              <from>
                <xdr:col>8</xdr:col>
                <xdr:colOff>0</xdr:colOff>
                <xdr:row>0</xdr:row>
                <xdr:rowOff>0</xdr:rowOff>
              </from>
              <to>
                <xdr:col>8</xdr:col>
                <xdr:colOff>1073150</xdr:colOff>
                <xdr:row>2</xdr:row>
                <xdr:rowOff>0</xdr:rowOff>
              </to>
            </anchor>
          </controlPr>
        </control>
      </mc:Choice>
      <mc:Fallback>
        <control shapeId="2049" r:id="rId3" name="SubmitWeeklyTasks"/>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2E9F1-8EDB-46A2-80C9-196A3DEE5DF3}">
  <sheetPr codeName="Sheet4"/>
  <dimension ref="A1:A3"/>
  <sheetViews>
    <sheetView workbookViewId="0">
      <selection activeCell="E11" sqref="E11"/>
    </sheetView>
  </sheetViews>
  <sheetFormatPr defaultRowHeight="13" x14ac:dyDescent="0.3"/>
  <cols>
    <col min="1" max="1" width="26.69921875" customWidth="1"/>
  </cols>
  <sheetData>
    <row r="1" spans="1:1" ht="65" x14ac:dyDescent="0.3">
      <c r="A1" t="s">
        <v>126</v>
      </c>
    </row>
    <row r="2" spans="1:1" ht="39" x14ac:dyDescent="0.3">
      <c r="A2" t="s">
        <v>68</v>
      </c>
    </row>
    <row r="3" spans="1:1" ht="78" x14ac:dyDescent="0.3">
      <c r="A3" t="s">
        <v>127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TM04099166</Templat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Time Sheet</vt:lpstr>
      <vt:lpstr>Task Codes</vt:lpstr>
      <vt:lpstr>Analysis</vt:lpstr>
      <vt:lpstr>Day-to-Day Tracking</vt:lpstr>
      <vt:lpstr>User Guide</vt:lpstr>
      <vt:lpstr>TaskCodes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Evangeline Busby</dc:creator>
  <cp:lastModifiedBy>Evie Busby</cp:lastModifiedBy>
  <dcterms:created xsi:type="dcterms:W3CDTF">2018-05-25T08:57:01Z</dcterms:created>
  <dcterms:modified xsi:type="dcterms:W3CDTF">2024-03-08T11:08:36Z</dcterms:modified>
</cp:coreProperties>
</file>